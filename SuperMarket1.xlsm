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20730" windowHeight="11310" activeTab="1"/>
  </bookViews>
  <sheets>
    <sheet name="Sheet1" sheetId="1" r:id="rId1"/>
    <sheet name="Items" sheetId="2" r:id="rId2"/>
    <sheet name="Sales" sheetId="3" r:id="rId3"/>
    <sheet name="Inventory" sheetId="4" r:id="rId4"/>
  </sheets>
  <definedNames>
    <definedName name="Bottom_value">Sheet1!$P$13:$Q$16</definedName>
    <definedName name="_xlnm.Print_Area" localSheetId="0">Sheet1!$I$4:$N$25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Q15" i="1" l="1"/>
  <c r="G8" i="1" l="1"/>
  <c r="Q14" i="1" s="1"/>
  <c r="C3" i="4" l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P16" i="1" l="1"/>
  <c r="P15" i="1"/>
  <c r="P14" i="1"/>
  <c r="P13" i="1"/>
  <c r="C2" i="4"/>
  <c r="C14" i="1"/>
  <c r="G14" i="1" s="1"/>
  <c r="L10" i="1" s="1"/>
  <c r="L9" i="1"/>
  <c r="G6" i="1"/>
  <c r="C12" i="1"/>
  <c r="C10" i="1"/>
  <c r="G12" i="1" l="1"/>
  <c r="Q16" i="1" s="1"/>
  <c r="Q13" i="1"/>
</calcChain>
</file>

<file path=xl/sharedStrings.xml><?xml version="1.0" encoding="utf-8"?>
<sst xmlns="http://schemas.openxmlformats.org/spreadsheetml/2006/main" count="204" uniqueCount="93">
  <si>
    <t>Super Market Billing System</t>
  </si>
  <si>
    <t>BarCode:</t>
  </si>
  <si>
    <t>Product Name:</t>
  </si>
  <si>
    <t>Quantity:</t>
  </si>
  <si>
    <t>Mrp:</t>
  </si>
  <si>
    <t>Selling Price:</t>
  </si>
  <si>
    <t>Pay Type:</t>
  </si>
  <si>
    <t>Total Amount:</t>
  </si>
  <si>
    <t>Total Qty:</t>
  </si>
  <si>
    <t>Payment:</t>
  </si>
  <si>
    <t>Balance:</t>
  </si>
  <si>
    <t>Barcode</t>
  </si>
  <si>
    <t>Product Name</t>
  </si>
  <si>
    <t>MRP</t>
  </si>
  <si>
    <t>Selling Price</t>
  </si>
  <si>
    <t>Sales Bill</t>
  </si>
  <si>
    <t>Excel Market Name</t>
  </si>
  <si>
    <t>123,Street</t>
  </si>
  <si>
    <t>District</t>
  </si>
  <si>
    <t>ContactNo.0123456789</t>
  </si>
  <si>
    <t>Date:</t>
  </si>
  <si>
    <t>Bill No.:</t>
  </si>
  <si>
    <t>S.No.:</t>
  </si>
  <si>
    <t>Qty</t>
  </si>
  <si>
    <t>Price</t>
  </si>
  <si>
    <t>Total</t>
  </si>
  <si>
    <t>Next Bill No.:</t>
  </si>
  <si>
    <t>Prev.Bill No.:</t>
  </si>
  <si>
    <t>Bill No.</t>
  </si>
  <si>
    <t>Date</t>
  </si>
  <si>
    <t>Orrdered Qty</t>
  </si>
  <si>
    <t>Available Qty</t>
  </si>
  <si>
    <t>Cash</t>
  </si>
  <si>
    <t>Sno.</t>
  </si>
  <si>
    <t>Keeri Samba Rice 1kg</t>
  </si>
  <si>
    <t>Red Raw Rice 1kg</t>
  </si>
  <si>
    <t>Write Nadu Rice 1kg</t>
  </si>
  <si>
    <t>Niluka Samba Rice 1kg</t>
  </si>
  <si>
    <t>Nipuna Keeri Samba Rice 5kg</t>
  </si>
  <si>
    <t xml:space="preserve"> Normal papadam 60g</t>
  </si>
  <si>
    <t>Special Papadam 70g</t>
  </si>
  <si>
    <t>Rice Noodles 400g</t>
  </si>
  <si>
    <t xml:space="preserve"> Fine Noodles 400g</t>
  </si>
  <si>
    <t>Red Rice Flour  400g</t>
  </si>
  <si>
    <t>Coconut Vinegar 350ml</t>
  </si>
  <si>
    <t>White Rice Flour 400g</t>
  </si>
  <si>
    <t>Coffee Powder 20g</t>
  </si>
  <si>
    <t>Rasam Cups  100g</t>
  </si>
  <si>
    <t>Hopper Flour 1kg</t>
  </si>
  <si>
    <t>Idli Mixture  400g</t>
  </si>
  <si>
    <t>Goraka Cream 100g</t>
  </si>
  <si>
    <t>Mini Cheep</t>
  </si>
  <si>
    <t>Dettol Cool</t>
  </si>
  <si>
    <t>Jumbo Pinut</t>
  </si>
  <si>
    <t>Diamond Full Cream Milk  400g</t>
  </si>
  <si>
    <t>Kotmale Fresh Milk  1l</t>
  </si>
  <si>
    <t>Anlene Milk 400g</t>
  </si>
  <si>
    <t>Elephant House Necto 1.50l</t>
  </si>
  <si>
    <t>Mountain Dew 1.50l</t>
  </si>
  <si>
    <t>Elephant House Ginger Beer 1.50l</t>
  </si>
  <si>
    <t>Elephant House Cream Soda 1.50l</t>
  </si>
  <si>
    <t>Kist Mixed Nectar 1l</t>
  </si>
  <si>
    <t>Munchee Chocolate Chip Cookies 100g</t>
  </si>
  <si>
    <t>Munchee Tikiri Marie 360g</t>
  </si>
  <si>
    <t>Munchee Onion Biscuits  170g</t>
  </si>
  <si>
    <t>Kist Chocolate Cream 400g</t>
  </si>
  <si>
    <t>Kist Chocolate Wafers 360g</t>
  </si>
  <si>
    <t>Magna Devilled Mixture 100g</t>
  </si>
  <si>
    <t>Smak Spicy Bite 80g</t>
  </si>
  <si>
    <t>Surf Excel Matic Liquid 1l</t>
  </si>
  <si>
    <t>Vim Liquid Dishwash 500ml</t>
  </si>
  <si>
    <t>Lux Soap 100g</t>
  </si>
  <si>
    <t>Signal Herbal Toothpaste 160g</t>
  </si>
  <si>
    <t>Lifebuoy Soap 100g</t>
  </si>
  <si>
    <t>S.No.:1</t>
  </si>
  <si>
    <t>S.No.:2</t>
  </si>
  <si>
    <t>S.No.:3</t>
  </si>
  <si>
    <t>S.No.:4</t>
  </si>
  <si>
    <t>S.No.:5</t>
  </si>
  <si>
    <t>S.No.:6</t>
  </si>
  <si>
    <t>S.No.:7</t>
  </si>
  <si>
    <t>S.No.:8</t>
  </si>
  <si>
    <t>S.No.:9</t>
  </si>
  <si>
    <t>S.No.:10</t>
  </si>
  <si>
    <t>S.No.:11</t>
  </si>
  <si>
    <t>S.No.:12</t>
  </si>
  <si>
    <t>S.No.:13</t>
  </si>
  <si>
    <t>S.No.:14</t>
  </si>
  <si>
    <t>S.No.:15</t>
  </si>
  <si>
    <t>S.No.:16</t>
  </si>
  <si>
    <t>S.No.:17</t>
  </si>
  <si>
    <t>S.No.:18</t>
  </si>
  <si>
    <t>S.No.:19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</si>
</sst>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[$LKR]\ * #,##0.00_);_([$LKR]\ * \(#,##0.00\);_([$LKR]\ * &quot;-&quot;??_);_(@_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4" tint="-0.249977111117893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6"/>
      <color theme="4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gradientFill degree="90">
        <stop position="0">
          <color rgb="FF00B050"/>
        </stop>
        <stop position="0.5">
          <color rgb="FFFFFF00"/>
        </stop>
        <stop position="1">
          <color rgb="FF00B050"/>
        </stop>
      </gradient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theme="4" tint="-0.24994659260841701"/>
      </left>
      <right style="hair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hair">
        <color theme="4" tint="-0.24994659260841701"/>
      </left>
      <right style="hair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hair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/>
      <diagonal/>
    </border>
    <border>
      <left/>
      <right/>
      <top style="medium">
        <color theme="4" tint="-0.24994659260841701"/>
      </top>
      <bottom/>
      <diagonal/>
    </border>
    <border>
      <left/>
      <right style="medium">
        <color theme="4" tint="-0.24994659260841701"/>
      </right>
      <top style="medium">
        <color theme="4" tint="-0.24994659260841701"/>
      </top>
      <bottom/>
      <diagonal/>
    </border>
    <border>
      <left/>
      <right style="medium">
        <color theme="4" tint="-0.24994659260841701"/>
      </right>
      <top/>
      <bottom style="thin">
        <color auto="1"/>
      </bottom>
      <diagonal/>
    </border>
    <border>
      <left style="medium">
        <color theme="4" tint="-0.24994659260841701"/>
      </left>
      <right/>
      <top/>
      <bottom/>
      <diagonal/>
    </border>
    <border>
      <left/>
      <right style="medium">
        <color theme="4" tint="-0.24994659260841701"/>
      </right>
      <top/>
      <bottom/>
      <diagonal/>
    </border>
    <border>
      <left style="medium">
        <color theme="4" tint="-0.24994659260841701"/>
      </left>
      <right/>
      <top/>
      <bottom style="medium">
        <color theme="4" tint="-0.24994659260841701"/>
      </bottom>
      <diagonal/>
    </border>
    <border>
      <left/>
      <right/>
      <top/>
      <bottom style="medium">
        <color theme="4" tint="-0.24994659260841701"/>
      </bottom>
      <diagonal/>
    </border>
    <border>
      <left/>
      <right style="medium">
        <color theme="4" tint="-0.24994659260841701"/>
      </right>
      <top/>
      <bottom style="medium">
        <color theme="4" tint="-0.24994659260841701"/>
      </bottom>
      <diagonal/>
    </border>
    <border>
      <left style="medium">
        <color theme="4" tint="-0.24994659260841701"/>
      </left>
      <right style="hair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theme="4" tint="-0.24994659260841701"/>
      </right>
      <top style="thin">
        <color theme="1"/>
      </top>
      <bottom style="thin">
        <color theme="1"/>
      </bottom>
      <diagonal/>
    </border>
    <border>
      <left style="hair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5" xfId="0" applyBorder="1"/>
    <xf numFmtId="0" fontId="1" fillId="0" borderId="0" xfId="0" applyFont="1"/>
    <xf numFmtId="0" fontId="3" fillId="0" borderId="3" xfId="0" applyFont="1" applyBorder="1"/>
    <xf numFmtId="22" fontId="0" fillId="0" borderId="0" xfId="0" applyNumberFormat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" xfId="0" applyBorder="1" applyAlignment="1">
      <alignment horizontal="center"/>
    </xf>
    <xf numFmtId="0" fontId="3" fillId="0" borderId="15" xfId="0" applyFont="1" applyBorder="1"/>
    <xf numFmtId="0" fontId="3" fillId="0" borderId="10" xfId="0" applyFont="1" applyBorder="1"/>
    <xf numFmtId="0" fontId="1" fillId="0" borderId="11" xfId="0" applyFont="1" applyBorder="1"/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0" fillId="0" borderId="1" xfId="0" applyBorder="1"/>
    <xf numFmtId="164" fontId="0" fillId="0" borderId="5" xfId="0" applyNumberFormat="1" applyBorder="1"/>
    <xf numFmtId="164" fontId="0" fillId="0" borderId="1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Border="1"/>
    <xf numFmtId="0" fontId="3" fillId="0" borderId="0" xfId="0" applyFont="1" applyBorder="1"/>
    <xf numFmtId="0" fontId="1" fillId="0" borderId="0" xfId="0" applyFont="1" applyBorder="1"/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64" fontId="0" fillId="0" borderId="0" xfId="0" applyNumberFormat="1" applyBorder="1"/>
    <xf numFmtId="0" fontId="0" fillId="0" borderId="11" xfId="0" applyBorder="1"/>
    <xf numFmtId="0" fontId="0" fillId="0" borderId="14" xfId="0" applyBorder="1"/>
    <xf numFmtId="164" fontId="0" fillId="0" borderId="11" xfId="0" applyNumberFormat="1" applyBorder="1"/>
    <xf numFmtId="164" fontId="0" fillId="0" borderId="1" xfId="0" applyNumberFormat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22" fontId="1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1" xfId="0" applyFont="1" applyBorder="1" applyAlignment="1">
      <alignment horizontal="center"/>
    </xf>
  </cellXfs>
  <cellStyles count="1">
    <cellStyle name="Normal" xfId="0" builtinId="0"/>
  </cellStyles>
  <dxfs count="2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mruColors>
      <color rgb="FFF5FA3C"/>
      <color rgb="FFF8FB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17</xdr:row>
      <xdr:rowOff>180975</xdr:rowOff>
    </xdr:from>
    <xdr:to>
      <xdr:col>2</xdr:col>
      <xdr:colOff>209550</xdr:colOff>
      <xdr:row>19</xdr:row>
      <xdr:rowOff>47625</xdr:rowOff>
    </xdr:to>
    <xdr:sp macro="[0]!sa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817847ED-AA8D-210C-03D7-C01AC89AB070}"/>
            </a:ext>
          </a:extLst>
        </xdr:cNvPr>
        <xdr:cNvSpPr/>
      </xdr:nvSpPr>
      <xdr:spPr>
        <a:xfrm>
          <a:off x="857250" y="3562350"/>
          <a:ext cx="1000125" cy="323850"/>
        </a:xfrm>
        <a:prstGeom prst="roundRect">
          <a:avLst/>
        </a:prstGeom>
        <a:ln w="38100">
          <a:solidFill>
            <a:srgbClr val="0070C0"/>
          </a:solidFill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1">
              <a:solidFill>
                <a:schemeClr val="bg1"/>
              </a:solidFill>
            </a:rPr>
            <a:t>Save Bill</a:t>
          </a:r>
        </a:p>
      </xdr:txBody>
    </xdr:sp>
    <xdr:clientData/>
  </xdr:twoCellAnchor>
  <xdr:twoCellAnchor>
    <xdr:from>
      <xdr:col>2</xdr:col>
      <xdr:colOff>476250</xdr:colOff>
      <xdr:row>18</xdr:row>
      <xdr:rowOff>0</xdr:rowOff>
    </xdr:from>
    <xdr:to>
      <xdr:col>3</xdr:col>
      <xdr:colOff>695325</xdr:colOff>
      <xdr:row>19</xdr:row>
      <xdr:rowOff>47625</xdr:rowOff>
    </xdr:to>
    <xdr:sp macro="[0]!clear_ite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6FB5A577-3ECA-B895-D11A-B83F6CC19AED}"/>
            </a:ext>
          </a:extLst>
        </xdr:cNvPr>
        <xdr:cNvSpPr/>
      </xdr:nvSpPr>
      <xdr:spPr>
        <a:xfrm>
          <a:off x="2124075" y="3571875"/>
          <a:ext cx="1162050" cy="314325"/>
        </a:xfrm>
        <a:prstGeom prst="roundRect">
          <a:avLst/>
        </a:prstGeom>
        <a:ln w="38100">
          <a:solidFill>
            <a:srgbClr val="0070C0"/>
          </a:solidFill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i="1">
              <a:solidFill>
                <a:schemeClr val="bg1"/>
              </a:solidFill>
              <a:latin typeface="+mn-lt"/>
              <a:ea typeface="+mn-ea"/>
              <a:cs typeface="+mn-cs"/>
            </a:rPr>
            <a:t>Clear Item</a:t>
          </a:r>
        </a:p>
      </xdr:txBody>
    </xdr:sp>
    <xdr:clientData/>
  </xdr:twoCellAnchor>
  <xdr:twoCellAnchor>
    <xdr:from>
      <xdr:col>4</xdr:col>
      <xdr:colOff>38100</xdr:colOff>
      <xdr:row>18</xdr:row>
      <xdr:rowOff>9524</xdr:rowOff>
    </xdr:from>
    <xdr:to>
      <xdr:col>5</xdr:col>
      <xdr:colOff>466725</xdr:colOff>
      <xdr:row>19</xdr:row>
      <xdr:rowOff>47625</xdr:rowOff>
    </xdr:to>
    <xdr:sp macro="[0]!clear_bill" textlink="">
      <xdr:nvSpPr>
        <xdr:cNvPr id="5" name="Rectangle: Rounded Corners 4">
          <a:extLst>
            <a:ext uri="{FF2B5EF4-FFF2-40B4-BE49-F238E27FC236}">
              <a16:creationId xmlns:a16="http://schemas.microsoft.com/office/drawing/2014/main" xmlns="" id="{8C4734E6-5C63-337E-06B2-7249AA66A141}"/>
            </a:ext>
          </a:extLst>
        </xdr:cNvPr>
        <xdr:cNvSpPr/>
      </xdr:nvSpPr>
      <xdr:spPr>
        <a:xfrm>
          <a:off x="3619500" y="3581399"/>
          <a:ext cx="1038225" cy="304801"/>
        </a:xfrm>
        <a:prstGeom prst="roundRect">
          <a:avLst/>
        </a:prstGeom>
        <a:ln w="38100">
          <a:solidFill>
            <a:srgbClr val="0070C0"/>
          </a:solidFill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i="1">
              <a:solidFill>
                <a:schemeClr val="bg1"/>
              </a:solidFill>
              <a:latin typeface="+mn-lt"/>
              <a:ea typeface="+mn-ea"/>
              <a:cs typeface="+mn-cs"/>
            </a:rPr>
            <a:t>Clear Bill</a:t>
          </a:r>
        </a:p>
      </xdr:txBody>
    </xdr:sp>
    <xdr:clientData/>
  </xdr:twoCellAnchor>
  <xdr:twoCellAnchor>
    <xdr:from>
      <xdr:col>5</xdr:col>
      <xdr:colOff>895350</xdr:colOff>
      <xdr:row>18</xdr:row>
      <xdr:rowOff>19049</xdr:rowOff>
    </xdr:from>
    <xdr:to>
      <xdr:col>7</xdr:col>
      <xdr:colOff>133350</xdr:colOff>
      <xdr:row>19</xdr:row>
      <xdr:rowOff>66674</xdr:rowOff>
    </xdr:to>
    <xdr:sp macro="[0]!Module1.print_bi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xmlns="" id="{7B0DDD10-8DAF-8D55-77A7-BEC206E88747}"/>
            </a:ext>
          </a:extLst>
        </xdr:cNvPr>
        <xdr:cNvSpPr/>
      </xdr:nvSpPr>
      <xdr:spPr>
        <a:xfrm>
          <a:off x="5086350" y="3590924"/>
          <a:ext cx="1066800" cy="314325"/>
        </a:xfrm>
        <a:prstGeom prst="roundRect">
          <a:avLst/>
        </a:prstGeom>
        <a:ln w="38100">
          <a:solidFill>
            <a:srgbClr val="0070C0"/>
          </a:solidFill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i="1">
              <a:solidFill>
                <a:schemeClr val="bg1"/>
              </a:solidFill>
              <a:latin typeface="+mn-lt"/>
              <a:ea typeface="+mn-ea"/>
              <a:cs typeface="+mn-cs"/>
            </a:rPr>
            <a:t>Print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Q48"/>
  <sheetViews>
    <sheetView showGridLines="0" workbookViewId="0">
      <selection activeCell="E26" sqref="E26"/>
    </sheetView>
  </sheetViews>
  <sheetFormatPr defaultRowHeight="15" x14ac:dyDescent="0.25"/>
  <cols>
    <col min="2" max="2" width="15.5703125" customWidth="1"/>
    <col min="3" max="3" width="14.140625" customWidth="1"/>
    <col min="4" max="4" width="14.85546875" customWidth="1"/>
    <col min="6" max="6" width="15.140625" customWidth="1"/>
    <col min="7" max="7" width="15.5703125" customWidth="1"/>
    <col min="9" max="9" width="11" customWidth="1"/>
    <col min="10" max="10" width="27" customWidth="1"/>
    <col min="11" max="11" width="13.85546875" customWidth="1"/>
    <col min="12" max="12" width="14.85546875" customWidth="1"/>
    <col min="13" max="13" width="15.140625" customWidth="1"/>
    <col min="14" max="14" width="16.42578125" customWidth="1"/>
    <col min="16" max="16" width="13.42578125" customWidth="1"/>
    <col min="17" max="17" width="15.28515625" customWidth="1"/>
  </cols>
  <sheetData>
    <row r="1" spans="2:17" ht="15.75" thickBot="1" x14ac:dyDescent="0.3"/>
    <row r="2" spans="2:17" x14ac:dyDescent="0.25">
      <c r="B2" s="36" t="s">
        <v>0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8"/>
    </row>
    <row r="3" spans="2:17" x14ac:dyDescent="0.25">
      <c r="B3" s="39"/>
      <c r="C3" s="40"/>
      <c r="D3" s="40"/>
      <c r="E3" s="41"/>
      <c r="F3" s="40"/>
      <c r="G3" s="40"/>
      <c r="H3" s="41"/>
      <c r="I3" s="41"/>
      <c r="J3" s="41"/>
      <c r="K3" s="41"/>
      <c r="L3" s="41"/>
      <c r="M3" s="41"/>
      <c r="N3" s="42"/>
    </row>
    <row r="4" spans="2:17" ht="18.75" x14ac:dyDescent="0.3">
      <c r="B4" s="10" t="s">
        <v>1</v>
      </c>
      <c r="C4" s="43"/>
      <c r="D4" s="44"/>
      <c r="E4" s="19"/>
      <c r="F4" s="4" t="s">
        <v>6</v>
      </c>
      <c r="G4" s="2" t="s">
        <v>32</v>
      </c>
      <c r="H4" s="19"/>
      <c r="I4" s="45" t="s">
        <v>15</v>
      </c>
      <c r="J4" s="45"/>
      <c r="K4" s="45"/>
      <c r="L4" s="45"/>
      <c r="M4" s="45"/>
      <c r="N4" s="46"/>
    </row>
    <row r="5" spans="2:17" ht="15.75" x14ac:dyDescent="0.25">
      <c r="B5" s="11"/>
      <c r="C5" s="19"/>
      <c r="D5" s="19"/>
      <c r="E5" s="19"/>
      <c r="F5" s="20"/>
      <c r="G5" s="19"/>
      <c r="H5" s="19"/>
      <c r="I5" s="47" t="s">
        <v>16</v>
      </c>
      <c r="J5" s="47"/>
      <c r="K5" s="47"/>
      <c r="L5" s="47"/>
      <c r="M5" s="47"/>
      <c r="N5" s="48"/>
    </row>
    <row r="6" spans="2:17" ht="15.75" x14ac:dyDescent="0.25">
      <c r="B6" s="10" t="s">
        <v>2</v>
      </c>
      <c r="C6" s="31" t="str">
        <f>IF(C4&lt;&gt;"",VLOOKUP(C4,Items!A:D,2,FALSE),"")</f>
        <v/>
      </c>
      <c r="D6" s="32"/>
      <c r="E6" s="19"/>
      <c r="F6" s="4" t="s">
        <v>7</v>
      </c>
      <c r="G6" s="16">
        <f>SUM(N13:N997)</f>
        <v>210</v>
      </c>
      <c r="H6" s="19"/>
      <c r="I6" s="47" t="s">
        <v>17</v>
      </c>
      <c r="J6" s="47"/>
      <c r="K6" s="47"/>
      <c r="L6" s="47"/>
      <c r="M6" s="47"/>
      <c r="N6" s="48"/>
    </row>
    <row r="7" spans="2:17" ht="15.75" x14ac:dyDescent="0.25">
      <c r="B7" s="11"/>
      <c r="C7" s="19"/>
      <c r="D7" s="19"/>
      <c r="E7" s="19"/>
      <c r="F7" s="20"/>
      <c r="G7" s="19"/>
      <c r="H7" s="19"/>
      <c r="I7" s="47" t="s">
        <v>18</v>
      </c>
      <c r="J7" s="47"/>
      <c r="K7" s="47"/>
      <c r="L7" s="47"/>
      <c r="M7" s="47"/>
      <c r="N7" s="48"/>
    </row>
    <row r="8" spans="2:17" ht="15.75" x14ac:dyDescent="0.25">
      <c r="B8" s="10" t="s">
        <v>3</v>
      </c>
      <c r="C8" s="31">
        <v>1</v>
      </c>
      <c r="D8" s="32"/>
      <c r="E8" s="19"/>
      <c r="F8" s="4" t="s">
        <v>8</v>
      </c>
      <c r="G8" s="2">
        <f>SUM(K13:K999)</f>
        <v>1</v>
      </c>
      <c r="H8" s="19"/>
      <c r="I8" s="47" t="s">
        <v>19</v>
      </c>
      <c r="J8" s="47"/>
      <c r="K8" s="47"/>
      <c r="L8" s="47"/>
      <c r="M8" s="47"/>
      <c r="N8" s="48"/>
    </row>
    <row r="9" spans="2:17" ht="15.75" x14ac:dyDescent="0.25">
      <c r="B9" s="11"/>
      <c r="C9" s="19"/>
      <c r="D9" s="19"/>
      <c r="E9" s="19"/>
      <c r="F9" s="20"/>
      <c r="G9" s="19"/>
      <c r="H9" s="19"/>
      <c r="I9" s="21"/>
      <c r="J9" s="21"/>
      <c r="K9" s="21" t="s">
        <v>20</v>
      </c>
      <c r="L9" s="33">
        <f ca="1">NOW()</f>
        <v>46284.376086458331</v>
      </c>
      <c r="M9" s="34"/>
      <c r="N9" s="35"/>
    </row>
    <row r="10" spans="2:17" ht="15.75" x14ac:dyDescent="0.25">
      <c r="B10" s="10" t="s">
        <v>4</v>
      </c>
      <c r="C10" s="31" t="str">
        <f>IF(C4&lt;&gt;"",VLOOKUP(C4,Items!A:D,3,FALSE),"")</f>
        <v/>
      </c>
      <c r="D10" s="32"/>
      <c r="E10" s="19"/>
      <c r="F10" s="4" t="s">
        <v>9</v>
      </c>
      <c r="G10" s="2">
        <v>5000</v>
      </c>
      <c r="H10" s="19"/>
      <c r="I10" s="21"/>
      <c r="J10" s="21"/>
      <c r="K10" s="21" t="s">
        <v>21</v>
      </c>
      <c r="L10" s="34">
        <f>G14</f>
        <v>7</v>
      </c>
      <c r="M10" s="34"/>
      <c r="N10" s="35"/>
    </row>
    <row r="11" spans="2:17" ht="15.75" x14ac:dyDescent="0.25">
      <c r="B11" s="11"/>
      <c r="C11" s="19"/>
      <c r="D11" s="19"/>
      <c r="E11" s="19"/>
      <c r="F11" s="20"/>
      <c r="G11" s="19"/>
      <c r="H11" s="19"/>
      <c r="I11" s="21"/>
      <c r="J11" s="21"/>
      <c r="K11" s="21"/>
      <c r="L11" s="21"/>
      <c r="M11" s="21"/>
      <c r="N11" s="12"/>
    </row>
    <row r="12" spans="2:17" ht="15.75" x14ac:dyDescent="0.25">
      <c r="B12" s="10" t="s">
        <v>5</v>
      </c>
      <c r="C12" s="31" t="str">
        <f>IF(C4&lt;&gt;"",VLOOKUP(C4,Items!A:D,4,FALSE),"")</f>
        <v/>
      </c>
      <c r="D12" s="32"/>
      <c r="E12" s="19"/>
      <c r="F12" s="4" t="s">
        <v>10</v>
      </c>
      <c r="G12" s="2">
        <f>IF(G10&lt;&gt;"",G10-G6,"")</f>
        <v>4790</v>
      </c>
      <c r="H12" s="19"/>
      <c r="I12" s="13" t="s">
        <v>22</v>
      </c>
      <c r="J12" s="13" t="s">
        <v>12</v>
      </c>
      <c r="K12" s="13" t="s">
        <v>23</v>
      </c>
      <c r="L12" s="13" t="s">
        <v>13</v>
      </c>
      <c r="M12" s="13" t="s">
        <v>24</v>
      </c>
      <c r="N12" s="14" t="s">
        <v>25</v>
      </c>
    </row>
    <row r="13" spans="2:17" x14ac:dyDescent="0.25">
      <c r="B13" s="6"/>
      <c r="C13" s="19"/>
      <c r="D13" s="19"/>
      <c r="E13" s="19"/>
      <c r="F13" s="19"/>
      <c r="G13" s="19"/>
      <c r="H13" s="19"/>
      <c r="I13" s="22" t="s">
        <v>74</v>
      </c>
      <c r="J13" s="23" t="s">
        <v>35</v>
      </c>
      <c r="K13" s="23">
        <v>1</v>
      </c>
      <c r="L13" s="24">
        <v>210</v>
      </c>
      <c r="M13" s="24">
        <v>210</v>
      </c>
      <c r="N13" s="17">
        <v>210</v>
      </c>
      <c r="P13" s="1" t="str">
        <f>F6</f>
        <v>Total Amount:</v>
      </c>
      <c r="Q13" s="30">
        <f>G6</f>
        <v>210</v>
      </c>
    </row>
    <row r="14" spans="2:17" ht="15.75" x14ac:dyDescent="0.25">
      <c r="B14" s="10" t="s">
        <v>27</v>
      </c>
      <c r="C14" s="31">
        <f>MAX(Sales!A:A)</f>
        <v>6</v>
      </c>
      <c r="D14" s="32"/>
      <c r="E14" s="19"/>
      <c r="F14" s="4" t="s">
        <v>26</v>
      </c>
      <c r="G14" s="2">
        <f>C14+1</f>
        <v>7</v>
      </c>
      <c r="H14" s="19"/>
      <c r="I14" s="22"/>
      <c r="J14" s="23"/>
      <c r="K14" s="23"/>
      <c r="L14" s="24"/>
      <c r="M14" s="24"/>
      <c r="N14" s="17"/>
      <c r="P14" s="1" t="str">
        <f>F8</f>
        <v>Total Qty:</v>
      </c>
      <c r="Q14" s="15">
        <f>G8</f>
        <v>1</v>
      </c>
    </row>
    <row r="15" spans="2:17" x14ac:dyDescent="0.25">
      <c r="B15" s="6"/>
      <c r="C15" s="19"/>
      <c r="D15" s="19"/>
      <c r="E15" s="19"/>
      <c r="F15" s="19"/>
      <c r="G15" s="19"/>
      <c r="H15" s="19"/>
      <c r="I15" s="22"/>
      <c r="J15" s="23"/>
      <c r="K15" s="23"/>
      <c r="L15" s="24"/>
      <c r="M15" s="24"/>
      <c r="N15" s="17"/>
      <c r="P15" s="1" t="str">
        <f>F10</f>
        <v>Payment:</v>
      </c>
      <c r="Q15" s="15">
        <f>G10</f>
        <v>5000</v>
      </c>
    </row>
    <row r="16" spans="2:17" x14ac:dyDescent="0.25">
      <c r="B16" s="6"/>
      <c r="C16" s="19"/>
      <c r="D16" s="19"/>
      <c r="E16" s="19"/>
      <c r="F16" s="19"/>
      <c r="G16" s="19"/>
      <c r="H16" s="19"/>
      <c r="I16" s="22"/>
      <c r="J16" s="23"/>
      <c r="K16" s="23"/>
      <c r="L16" s="24"/>
      <c r="M16" s="24"/>
      <c r="N16" s="17"/>
      <c r="P16" s="1" t="str">
        <f>F12</f>
        <v>Balance:</v>
      </c>
      <c r="Q16" s="15">
        <f>G12</f>
        <v>4790</v>
      </c>
    </row>
    <row r="17" spans="2:14" x14ac:dyDescent="0.25">
      <c r="B17" s="6"/>
      <c r="C17" s="19"/>
      <c r="D17" s="19"/>
      <c r="E17" s="19"/>
      <c r="F17" s="19"/>
      <c r="G17" s="19"/>
      <c r="H17" s="19"/>
      <c r="I17" s="22"/>
      <c r="J17" s="23"/>
      <c r="K17" s="23"/>
      <c r="L17" s="24"/>
      <c r="M17" s="24"/>
      <c r="N17" s="17"/>
    </row>
    <row r="18" spans="2:14" x14ac:dyDescent="0.25">
      <c r="B18" s="6"/>
      <c r="C18" s="19"/>
      <c r="D18" s="19"/>
      <c r="E18" s="19"/>
      <c r="F18" s="19"/>
      <c r="G18" s="19"/>
      <c r="H18" s="19"/>
      <c r="I18" s="22"/>
      <c r="J18" s="23"/>
      <c r="K18" s="23"/>
      <c r="L18" s="24"/>
      <c r="M18" s="24"/>
      <c r="N18" s="17"/>
    </row>
    <row r="19" spans="2:14" ht="21" x14ac:dyDescent="0.25">
      <c r="B19" s="6"/>
      <c r="C19" s="25"/>
      <c r="D19" s="19"/>
      <c r="E19" s="19"/>
      <c r="F19" s="19"/>
      <c r="G19" s="19"/>
      <c r="H19" s="19"/>
      <c r="I19" s="22"/>
      <c r="J19" s="23"/>
      <c r="K19" s="23"/>
      <c r="L19" s="24"/>
      <c r="M19" s="24"/>
      <c r="N19" s="17"/>
    </row>
    <row r="20" spans="2:14" x14ac:dyDescent="0.25">
      <c r="B20" s="6"/>
      <c r="C20" s="19"/>
      <c r="D20" s="19"/>
      <c r="E20" s="19"/>
      <c r="F20" s="19"/>
      <c r="G20" s="19"/>
      <c r="H20" s="19"/>
      <c r="I20" s="22"/>
      <c r="J20" s="23"/>
      <c r="K20" s="23"/>
      <c r="L20" s="24"/>
      <c r="M20" s="24"/>
      <c r="N20" s="17"/>
    </row>
    <row r="21" spans="2:14" x14ac:dyDescent="0.25">
      <c r="B21" s="6"/>
      <c r="C21" s="19"/>
      <c r="D21" s="19"/>
      <c r="E21" s="19"/>
      <c r="F21" s="19"/>
      <c r="G21" s="19"/>
      <c r="H21" s="19"/>
      <c r="I21" s="22"/>
      <c r="J21" s="23"/>
      <c r="K21" s="23"/>
      <c r="L21" s="24"/>
      <c r="M21" s="26"/>
      <c r="N21" s="17"/>
    </row>
    <row r="22" spans="2:14" x14ac:dyDescent="0.25">
      <c r="B22" s="6"/>
      <c r="C22" s="19"/>
      <c r="D22" s="19"/>
      <c r="E22" s="19"/>
      <c r="F22" s="19"/>
      <c r="G22" s="19"/>
      <c r="H22" s="19"/>
      <c r="I22" s="22"/>
      <c r="J22" s="23"/>
      <c r="K22" s="23"/>
      <c r="L22" s="24"/>
      <c r="M22" s="26"/>
      <c r="N22" s="17"/>
    </row>
    <row r="23" spans="2:14" x14ac:dyDescent="0.25">
      <c r="B23" s="6"/>
      <c r="C23" s="19"/>
      <c r="D23" s="19"/>
      <c r="E23" s="19"/>
      <c r="F23" s="19"/>
      <c r="G23" s="19"/>
      <c r="H23" s="19"/>
      <c r="I23" s="22"/>
      <c r="J23" s="23"/>
      <c r="K23" s="23"/>
      <c r="L23" s="24"/>
      <c r="M23" s="26"/>
      <c r="N23" s="17"/>
    </row>
    <row r="24" spans="2:14" x14ac:dyDescent="0.25">
      <c r="B24" s="6"/>
      <c r="C24" s="19"/>
      <c r="D24" s="19"/>
      <c r="E24" s="19"/>
      <c r="F24" s="19"/>
      <c r="G24" s="19"/>
      <c r="H24" s="19"/>
      <c r="I24" s="22"/>
      <c r="J24" s="23"/>
      <c r="K24" s="23"/>
      <c r="L24" s="24"/>
      <c r="M24" s="26"/>
      <c r="N24" s="17"/>
    </row>
    <row r="25" spans="2:14" x14ac:dyDescent="0.25">
      <c r="B25" s="6"/>
      <c r="C25" s="19"/>
      <c r="D25" s="19"/>
      <c r="E25" s="19"/>
      <c r="F25" s="19"/>
      <c r="G25" s="19"/>
      <c r="H25" s="19"/>
      <c r="I25" s="22"/>
      <c r="J25" s="23"/>
      <c r="K25" s="23"/>
      <c r="L25" s="24"/>
      <c r="M25" s="26"/>
      <c r="N25" s="17"/>
    </row>
    <row r="26" spans="2:14" x14ac:dyDescent="0.25">
      <c r="B26" s="6"/>
      <c r="C26" s="19"/>
      <c r="D26" s="19"/>
      <c r="E26" s="19"/>
      <c r="F26" s="19"/>
      <c r="G26" s="19"/>
      <c r="H26" s="19"/>
      <c r="I26" s="22"/>
      <c r="J26" s="23"/>
      <c r="K26" s="23"/>
      <c r="L26" s="24"/>
      <c r="M26" s="26"/>
      <c r="N26" s="17"/>
    </row>
    <row r="27" spans="2:14" x14ac:dyDescent="0.25">
      <c r="B27" s="6"/>
      <c r="C27" s="19"/>
      <c r="D27" s="19"/>
      <c r="E27" s="19"/>
      <c r="F27" s="19"/>
      <c r="G27" s="19"/>
      <c r="H27" s="19"/>
      <c r="I27" s="22"/>
      <c r="J27" s="23"/>
      <c r="K27" s="23"/>
      <c r="L27" s="26"/>
      <c r="M27" s="26"/>
      <c r="N27" s="29"/>
    </row>
    <row r="28" spans="2:14" x14ac:dyDescent="0.25">
      <c r="B28" s="6"/>
      <c r="C28" s="19"/>
      <c r="D28" s="19"/>
      <c r="E28" s="19"/>
      <c r="F28" s="19"/>
      <c r="G28" s="19"/>
      <c r="H28" s="19"/>
      <c r="I28" s="22"/>
      <c r="J28" s="23"/>
      <c r="K28" s="23"/>
      <c r="L28" s="26"/>
      <c r="M28" s="26"/>
      <c r="N28" s="29"/>
    </row>
    <row r="29" spans="2:14" x14ac:dyDescent="0.25">
      <c r="B29" s="6"/>
      <c r="C29" s="19"/>
      <c r="D29" s="19"/>
      <c r="E29" s="19"/>
      <c r="F29" s="19"/>
      <c r="G29" s="19"/>
      <c r="H29" s="19"/>
      <c r="I29" s="22"/>
      <c r="J29" s="23"/>
      <c r="K29" s="23"/>
      <c r="L29" s="26"/>
      <c r="M29" s="26"/>
      <c r="N29" s="29"/>
    </row>
    <row r="30" spans="2:14" x14ac:dyDescent="0.25">
      <c r="B30" s="6"/>
      <c r="C30" s="19"/>
      <c r="D30" s="19"/>
      <c r="E30" s="19"/>
      <c r="F30" s="19"/>
      <c r="G30" s="19"/>
      <c r="H30" s="19"/>
      <c r="I30" s="22"/>
      <c r="J30" s="23"/>
      <c r="K30" s="23"/>
      <c r="L30" s="26"/>
      <c r="M30" s="26"/>
      <c r="N30" s="29"/>
    </row>
    <row r="31" spans="2:14" x14ac:dyDescent="0.25">
      <c r="B31" s="6"/>
      <c r="C31" s="19"/>
      <c r="D31" s="19"/>
      <c r="E31" s="19"/>
      <c r="F31" s="19"/>
      <c r="G31" s="19"/>
      <c r="H31" s="19"/>
      <c r="I31" s="22"/>
      <c r="J31" s="23"/>
      <c r="K31" s="23"/>
      <c r="L31" s="26"/>
      <c r="M31" s="26"/>
      <c r="N31" s="29"/>
    </row>
    <row r="32" spans="2:14" x14ac:dyDescent="0.25">
      <c r="B32" s="6"/>
      <c r="C32" s="19"/>
      <c r="D32" s="19"/>
      <c r="E32" s="19"/>
      <c r="F32" s="19"/>
      <c r="G32" s="19"/>
      <c r="H32" s="19"/>
      <c r="I32" s="23"/>
      <c r="J32" s="23"/>
      <c r="K32" s="23"/>
      <c r="L32" s="26"/>
      <c r="M32" s="26"/>
      <c r="N32" s="29"/>
    </row>
    <row r="33" spans="2:14" x14ac:dyDescent="0.25">
      <c r="B33" s="6"/>
      <c r="C33" s="19"/>
      <c r="D33" s="19"/>
      <c r="E33" s="19"/>
      <c r="F33" s="19"/>
      <c r="G33" s="19"/>
      <c r="H33" s="19"/>
      <c r="I33" s="23"/>
      <c r="J33" s="23"/>
      <c r="K33" s="23"/>
      <c r="L33" s="26"/>
      <c r="M33" s="26"/>
      <c r="N33" s="29"/>
    </row>
    <row r="34" spans="2:14" x14ac:dyDescent="0.25">
      <c r="B34" s="6"/>
      <c r="C34" s="19"/>
      <c r="D34" s="19"/>
      <c r="E34" s="19"/>
      <c r="F34" s="19"/>
      <c r="G34" s="19"/>
      <c r="H34" s="19"/>
      <c r="I34" s="23"/>
      <c r="J34" s="23"/>
      <c r="K34" s="23"/>
      <c r="L34" s="26"/>
      <c r="M34" s="26"/>
      <c r="N34" s="29"/>
    </row>
    <row r="35" spans="2:14" x14ac:dyDescent="0.25">
      <c r="B35" s="6"/>
      <c r="C35" s="19"/>
      <c r="D35" s="19"/>
      <c r="E35" s="19"/>
      <c r="F35" s="19"/>
      <c r="G35" s="19"/>
      <c r="H35" s="19"/>
      <c r="I35" s="23"/>
      <c r="J35" s="23"/>
      <c r="K35" s="23"/>
      <c r="L35" s="26"/>
      <c r="M35" s="26"/>
      <c r="N35" s="29"/>
    </row>
    <row r="36" spans="2:14" x14ac:dyDescent="0.25">
      <c r="B36" s="6"/>
      <c r="C36" s="19"/>
      <c r="D36" s="19"/>
      <c r="E36" s="19"/>
      <c r="F36" s="19"/>
      <c r="G36" s="19"/>
      <c r="H36" s="19"/>
      <c r="I36" s="23"/>
      <c r="J36" s="23"/>
      <c r="K36" s="23"/>
      <c r="L36" s="26"/>
      <c r="M36" s="26"/>
      <c r="N36" s="29"/>
    </row>
    <row r="37" spans="2:14" x14ac:dyDescent="0.25">
      <c r="B37" s="6"/>
      <c r="C37" s="19"/>
      <c r="D37" s="19"/>
      <c r="E37" s="19"/>
      <c r="F37" s="19"/>
      <c r="G37" s="19"/>
      <c r="H37" s="19"/>
      <c r="I37" s="23"/>
      <c r="J37" s="23"/>
      <c r="K37" s="23"/>
      <c r="L37" s="26"/>
      <c r="M37" s="26"/>
      <c r="N37" s="29"/>
    </row>
    <row r="38" spans="2:14" x14ac:dyDescent="0.25">
      <c r="B38" s="6"/>
      <c r="C38" s="19"/>
      <c r="D38" s="19"/>
      <c r="E38" s="19"/>
      <c r="F38" s="19"/>
      <c r="G38" s="19"/>
      <c r="H38" s="19"/>
      <c r="I38" s="23"/>
      <c r="J38" s="23"/>
      <c r="K38" s="23"/>
      <c r="L38" s="26"/>
      <c r="M38" s="26"/>
      <c r="N38" s="29"/>
    </row>
    <row r="39" spans="2:14" x14ac:dyDescent="0.25">
      <c r="B39" s="6"/>
      <c r="C39" s="19"/>
      <c r="D39" s="19"/>
      <c r="E39" s="19"/>
      <c r="F39" s="19"/>
      <c r="G39" s="19"/>
      <c r="H39" s="19"/>
      <c r="I39" s="23"/>
      <c r="J39" s="23"/>
      <c r="K39" s="23"/>
      <c r="L39" s="26"/>
      <c r="M39" s="26"/>
      <c r="N39" s="29"/>
    </row>
    <row r="40" spans="2:14" x14ac:dyDescent="0.25">
      <c r="B40" s="6"/>
      <c r="C40" s="19"/>
      <c r="D40" s="19"/>
      <c r="E40" s="19"/>
      <c r="F40" s="19"/>
      <c r="G40" s="19"/>
      <c r="H40" s="19"/>
      <c r="I40" s="23"/>
      <c r="J40" s="23"/>
      <c r="K40" s="23"/>
      <c r="L40" s="26"/>
      <c r="M40" s="26"/>
      <c r="N40" s="29"/>
    </row>
    <row r="41" spans="2:14" x14ac:dyDescent="0.25">
      <c r="B41" s="6"/>
      <c r="C41" s="19"/>
      <c r="D41" s="19"/>
      <c r="E41" s="19"/>
      <c r="F41" s="19"/>
      <c r="G41" s="19"/>
      <c r="H41" s="19"/>
      <c r="I41" s="23"/>
      <c r="J41" s="23"/>
      <c r="K41" s="23"/>
      <c r="L41" s="26"/>
      <c r="M41" s="26"/>
      <c r="N41" s="29"/>
    </row>
    <row r="42" spans="2:14" x14ac:dyDescent="0.25">
      <c r="B42" s="6"/>
      <c r="C42" s="19"/>
      <c r="D42" s="19"/>
      <c r="E42" s="19"/>
      <c r="F42" s="19"/>
      <c r="G42" s="19"/>
      <c r="H42" s="19"/>
      <c r="I42" s="23"/>
      <c r="J42" s="23"/>
      <c r="K42" s="23"/>
      <c r="L42" s="19"/>
      <c r="M42" s="19"/>
      <c r="N42" s="27"/>
    </row>
    <row r="43" spans="2:14" x14ac:dyDescent="0.25">
      <c r="B43" s="6"/>
      <c r="C43" s="19"/>
      <c r="D43" s="19"/>
      <c r="E43" s="19"/>
      <c r="F43" s="19"/>
      <c r="G43" s="19"/>
      <c r="H43" s="19"/>
      <c r="I43" s="23"/>
      <c r="J43" s="23"/>
      <c r="K43" s="23"/>
      <c r="L43" s="19"/>
      <c r="M43" s="19"/>
      <c r="N43" s="27"/>
    </row>
    <row r="44" spans="2:14" x14ac:dyDescent="0.25">
      <c r="B44" s="6"/>
      <c r="C44" s="19"/>
      <c r="D44" s="19"/>
      <c r="E44" s="19"/>
      <c r="F44" s="19"/>
      <c r="G44" s="19"/>
      <c r="H44" s="19"/>
      <c r="I44" s="23"/>
      <c r="J44" s="23"/>
      <c r="K44" s="23"/>
      <c r="L44" s="19"/>
      <c r="M44" s="19"/>
      <c r="N44" s="27"/>
    </row>
    <row r="45" spans="2:14" x14ac:dyDescent="0.25">
      <c r="B45" s="6"/>
      <c r="C45" s="19"/>
      <c r="D45" s="19"/>
      <c r="E45" s="19"/>
      <c r="F45" s="19"/>
      <c r="G45" s="19"/>
      <c r="H45" s="19"/>
      <c r="I45" s="23"/>
      <c r="J45" s="23"/>
      <c r="K45" s="23"/>
      <c r="L45" s="19"/>
      <c r="M45" s="19"/>
      <c r="N45" s="27"/>
    </row>
    <row r="46" spans="2:14" x14ac:dyDescent="0.25">
      <c r="B46" s="6"/>
      <c r="C46" s="19"/>
      <c r="D46" s="19"/>
      <c r="E46" s="19"/>
      <c r="F46" s="19"/>
      <c r="G46" s="19"/>
      <c r="H46" s="19"/>
      <c r="I46" s="23"/>
      <c r="J46" s="23"/>
      <c r="K46" s="23"/>
      <c r="L46" s="19"/>
      <c r="M46" s="19"/>
      <c r="N46" s="27"/>
    </row>
    <row r="47" spans="2:14" x14ac:dyDescent="0.25">
      <c r="B47" s="6"/>
      <c r="C47" s="19"/>
      <c r="D47" s="19"/>
      <c r="E47" s="19"/>
      <c r="F47" s="19"/>
      <c r="G47" s="19"/>
      <c r="H47" s="19"/>
      <c r="I47" s="23"/>
      <c r="J47" s="23"/>
      <c r="K47" s="19"/>
      <c r="L47" s="19"/>
      <c r="M47" s="19"/>
      <c r="N47" s="27"/>
    </row>
    <row r="48" spans="2:14" ht="15.75" thickBot="1" x14ac:dyDescent="0.3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28"/>
    </row>
  </sheetData>
  <mergeCells count="14">
    <mergeCell ref="C12:D12"/>
    <mergeCell ref="C14:D14"/>
    <mergeCell ref="L9:N9"/>
    <mergeCell ref="L10:N10"/>
    <mergeCell ref="B2:N3"/>
    <mergeCell ref="C4:D4"/>
    <mergeCell ref="C6:D6"/>
    <mergeCell ref="C8:D8"/>
    <mergeCell ref="C10:D10"/>
    <mergeCell ref="I4:N4"/>
    <mergeCell ref="I5:N5"/>
    <mergeCell ref="I6:N6"/>
    <mergeCell ref="I7:N7"/>
    <mergeCell ref="I8:N8"/>
  </mergeCells>
  <conditionalFormatting sqref="I13:N22 N23:N26 I27:N37">
    <cfRule type="expression" dxfId="1" priority="1">
      <formula>$M13="Total Amount:"</formula>
    </cfRule>
  </conditionalFormatting>
  <conditionalFormatting sqref="I23:I26 K23:M26">
    <cfRule type="expression" dxfId="0" priority="3">
      <formula>#REF!="Total Amount:"</formula>
    </cfRule>
  </conditionalFormatting>
  <dataValidations count="1">
    <dataValidation type="list" allowBlank="1" showInputMessage="1" showErrorMessage="1" sqref="G4">
      <formula1>"Cash,Card,QR"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1"/>
  <sheetViews>
    <sheetView tabSelected="1" topLeftCell="A4" workbookViewId="0">
      <selection activeCell="B40" sqref="B40"/>
    </sheetView>
  </sheetViews>
  <sheetFormatPr defaultRowHeight="15" x14ac:dyDescent="0.25"/>
  <cols>
    <col min="2" max="2" width="35.85546875" customWidth="1"/>
    <col min="4" max="4" width="11.42578125" customWidth="1"/>
  </cols>
  <sheetData>
    <row r="1" spans="1:4" x14ac:dyDescent="0.2">
      <c r="A1" s="1" t="s">
        <v>11</v>
      </c>
      <c r="B1" s="1" t="s">
        <v>12</v>
      </c>
      <c r="C1" s="1" t="s">
        <v>13</v>
      </c>
      <c r="D1" s="1" t="s">
        <v>14</v>
      </c>
    </row>
    <row r="2" spans="1:4" x14ac:dyDescent="0.2">
      <c r="A2" s="1">
        <v>1</v>
      </c>
      <c r="B2" s="1" t="s">
        <v>34</v>
      </c>
      <c r="C2" s="1">
        <v>250</v>
      </c>
      <c r="D2" s="1">
        <v>250</v>
      </c>
    </row>
    <row r="3" spans="1:4" x14ac:dyDescent="0.2">
      <c r="A3" s="1">
        <v>2</v>
      </c>
      <c r="B3" s="1" t="s">
        <v>35</v>
      </c>
      <c r="C3" s="1">
        <v>210</v>
      </c>
      <c r="D3" s="1">
        <v>210</v>
      </c>
    </row>
    <row r="4" spans="1:4" x14ac:dyDescent="0.2">
      <c r="A4" s="1">
        <v>3</v>
      </c>
      <c r="B4" s="1" t="s">
        <v>36</v>
      </c>
      <c r="C4" s="1">
        <v>220</v>
      </c>
      <c r="D4" s="1">
        <v>220</v>
      </c>
    </row>
    <row r="5" spans="1:4" x14ac:dyDescent="0.2">
      <c r="A5" s="1">
        <v>4</v>
      </c>
      <c r="B5" s="1" t="s">
        <v>37</v>
      </c>
      <c r="C5" s="1">
        <v>1200</v>
      </c>
      <c r="D5" s="1">
        <v>1200</v>
      </c>
    </row>
    <row r="6" spans="1:4" x14ac:dyDescent="0.2">
      <c r="A6" s="1">
        <v>5</v>
      </c>
      <c r="B6" s="1" t="s">
        <v>38</v>
      </c>
      <c r="C6" s="1">
        <v>1300</v>
      </c>
      <c r="D6" s="1">
        <v>1300</v>
      </c>
    </row>
    <row r="7" spans="1:4" x14ac:dyDescent="0.25">
      <c r="A7" s="1">
        <v>6</v>
      </c>
      <c r="B7" s="1" t="s">
        <v>39</v>
      </c>
      <c r="C7" s="1">
        <v>200</v>
      </c>
      <c r="D7" s="1">
        <v>200</v>
      </c>
    </row>
    <row r="8" spans="1:4" x14ac:dyDescent="0.25">
      <c r="A8" s="1">
        <v>7</v>
      </c>
      <c r="B8" s="1" t="s">
        <v>40</v>
      </c>
      <c r="C8" s="1">
        <v>80</v>
      </c>
      <c r="D8" s="1">
        <v>80</v>
      </c>
    </row>
    <row r="9" spans="1:4" x14ac:dyDescent="0.25">
      <c r="A9" s="1">
        <v>8</v>
      </c>
      <c r="B9" s="1" t="s">
        <v>41</v>
      </c>
      <c r="C9" s="1">
        <v>250</v>
      </c>
      <c r="D9" s="1">
        <v>250</v>
      </c>
    </row>
    <row r="10" spans="1:4" x14ac:dyDescent="0.25">
      <c r="A10" s="1">
        <v>9</v>
      </c>
      <c r="B10" s="1" t="s">
        <v>42</v>
      </c>
      <c r="C10" s="1">
        <v>250</v>
      </c>
      <c r="D10" s="1">
        <v>250</v>
      </c>
    </row>
    <row r="11" spans="1:4" x14ac:dyDescent="0.25">
      <c r="A11" s="1">
        <v>10</v>
      </c>
      <c r="B11" s="1" t="s">
        <v>43</v>
      </c>
      <c r="C11" s="1">
        <v>250</v>
      </c>
      <c r="D11" s="1">
        <v>250</v>
      </c>
    </row>
    <row r="12" spans="1:4" x14ac:dyDescent="0.25">
      <c r="A12" s="1">
        <v>11</v>
      </c>
      <c r="B12" s="1" t="s">
        <v>44</v>
      </c>
      <c r="C12" s="1">
        <v>150</v>
      </c>
      <c r="D12" s="1">
        <v>150</v>
      </c>
    </row>
    <row r="13" spans="1:4" x14ac:dyDescent="0.25">
      <c r="A13" s="1">
        <v>12</v>
      </c>
      <c r="B13" s="1" t="s">
        <v>45</v>
      </c>
      <c r="C13" s="1">
        <v>200</v>
      </c>
      <c r="D13" s="1">
        <v>200</v>
      </c>
    </row>
    <row r="14" spans="1:4" x14ac:dyDescent="0.25">
      <c r="A14" s="1">
        <v>13</v>
      </c>
      <c r="B14" s="1" t="s">
        <v>46</v>
      </c>
      <c r="C14" s="1">
        <v>50</v>
      </c>
      <c r="D14" s="1">
        <v>50</v>
      </c>
    </row>
    <row r="15" spans="1:4" x14ac:dyDescent="0.25">
      <c r="A15" s="1">
        <v>14</v>
      </c>
      <c r="B15" s="1" t="s">
        <v>47</v>
      </c>
      <c r="C15" s="1">
        <v>90</v>
      </c>
      <c r="D15" s="1">
        <v>90</v>
      </c>
    </row>
    <row r="16" spans="1:4" x14ac:dyDescent="0.25">
      <c r="A16" s="1">
        <v>15</v>
      </c>
      <c r="B16" s="1" t="s">
        <v>48</v>
      </c>
      <c r="C16" s="1">
        <v>400</v>
      </c>
      <c r="D16" s="1">
        <v>400</v>
      </c>
    </row>
    <row r="17" spans="1:4" x14ac:dyDescent="0.25">
      <c r="A17" s="1">
        <v>16</v>
      </c>
      <c r="B17" s="1" t="s">
        <v>49</v>
      </c>
      <c r="C17" s="1">
        <v>300</v>
      </c>
      <c r="D17" s="1">
        <v>300</v>
      </c>
    </row>
    <row r="18" spans="1:4" x14ac:dyDescent="0.25">
      <c r="A18" s="1">
        <v>17</v>
      </c>
      <c r="B18" s="1" t="s">
        <v>50</v>
      </c>
      <c r="C18" s="1">
        <v>100</v>
      </c>
      <c r="D18" s="1">
        <v>100</v>
      </c>
    </row>
    <row r="19" spans="1:4" x14ac:dyDescent="0.25">
      <c r="A19" s="1">
        <v>18</v>
      </c>
      <c r="B19" s="1" t="s">
        <v>51</v>
      </c>
      <c r="C19" s="1">
        <v>80</v>
      </c>
      <c r="D19" s="1">
        <v>80</v>
      </c>
    </row>
    <row r="20" spans="1:4" x14ac:dyDescent="0.25">
      <c r="A20" s="1">
        <v>19</v>
      </c>
      <c r="B20" s="1" t="s">
        <v>52</v>
      </c>
      <c r="C20" s="1">
        <v>120</v>
      </c>
      <c r="D20" s="1">
        <v>120</v>
      </c>
    </row>
    <row r="21" spans="1:4" x14ac:dyDescent="0.25">
      <c r="A21" s="1">
        <v>20</v>
      </c>
      <c r="B21" s="1" t="s">
        <v>53</v>
      </c>
      <c r="C21" s="1">
        <v>90</v>
      </c>
      <c r="D21" s="1">
        <v>90</v>
      </c>
    </row>
    <row r="22" spans="1:4" x14ac:dyDescent="0.25">
      <c r="A22" s="1">
        <v>21</v>
      </c>
      <c r="B22" s="1" t="s">
        <v>54</v>
      </c>
      <c r="C22" s="1">
        <v>945</v>
      </c>
      <c r="D22" s="1">
        <v>945</v>
      </c>
    </row>
    <row r="23" spans="1:4" x14ac:dyDescent="0.25">
      <c r="A23" s="1">
        <v>22</v>
      </c>
      <c r="B23" s="1" t="s">
        <v>55</v>
      </c>
      <c r="C23" s="1">
        <v>435</v>
      </c>
      <c r="D23" s="1">
        <v>435</v>
      </c>
    </row>
    <row r="24" spans="1:4" x14ac:dyDescent="0.25">
      <c r="A24" s="1">
        <v>23</v>
      </c>
      <c r="B24" s="1" t="s">
        <v>56</v>
      </c>
      <c r="C24" s="1">
        <v>1200</v>
      </c>
      <c r="D24" s="1">
        <v>1200</v>
      </c>
    </row>
    <row r="25" spans="1:4" x14ac:dyDescent="0.25">
      <c r="A25" s="1">
        <v>24</v>
      </c>
      <c r="B25" s="1" t="s">
        <v>57</v>
      </c>
      <c r="C25" s="1">
        <v>320</v>
      </c>
      <c r="D25" s="1">
        <v>320</v>
      </c>
    </row>
    <row r="26" spans="1:4" x14ac:dyDescent="0.25">
      <c r="A26" s="1">
        <v>25</v>
      </c>
      <c r="B26" s="1" t="s">
        <v>58</v>
      </c>
      <c r="C26" s="1">
        <v>320</v>
      </c>
      <c r="D26" s="1">
        <v>320</v>
      </c>
    </row>
    <row r="27" spans="1:4" x14ac:dyDescent="0.25">
      <c r="A27" s="1">
        <v>26</v>
      </c>
      <c r="B27" s="1" t="s">
        <v>59</v>
      </c>
      <c r="C27" s="1">
        <v>320</v>
      </c>
      <c r="D27" s="1">
        <v>320</v>
      </c>
    </row>
    <row r="28" spans="1:4" x14ac:dyDescent="0.25">
      <c r="A28" s="1">
        <v>27</v>
      </c>
      <c r="B28" s="1" t="s">
        <v>60</v>
      </c>
      <c r="C28" s="1">
        <v>460</v>
      </c>
      <c r="D28" s="1">
        <v>460</v>
      </c>
    </row>
    <row r="29" spans="1:4" x14ac:dyDescent="0.25">
      <c r="A29" s="1">
        <v>28</v>
      </c>
      <c r="B29" s="1" t="s">
        <v>61</v>
      </c>
      <c r="C29" s="1">
        <v>215</v>
      </c>
      <c r="D29" s="1">
        <v>215</v>
      </c>
    </row>
    <row r="30" spans="1:4" x14ac:dyDescent="0.25">
      <c r="A30" s="1">
        <v>29</v>
      </c>
      <c r="B30" s="1" t="s">
        <v>62</v>
      </c>
      <c r="C30" s="1">
        <v>280</v>
      </c>
      <c r="D30" s="1">
        <v>280</v>
      </c>
    </row>
    <row r="31" spans="1:4" x14ac:dyDescent="0.25">
      <c r="A31" s="1">
        <v>30</v>
      </c>
      <c r="B31" s="1" t="s">
        <v>63</v>
      </c>
      <c r="C31" s="1">
        <v>320</v>
      </c>
      <c r="D31" s="1">
        <v>320</v>
      </c>
    </row>
    <row r="32" spans="1:4" x14ac:dyDescent="0.25">
      <c r="A32" s="1">
        <v>31</v>
      </c>
      <c r="B32" s="1" t="s">
        <v>64</v>
      </c>
      <c r="C32" s="1">
        <v>380</v>
      </c>
      <c r="D32" s="1">
        <v>380</v>
      </c>
    </row>
    <row r="33" spans="1:4" x14ac:dyDescent="0.25">
      <c r="A33" s="1">
        <v>32</v>
      </c>
      <c r="B33" s="1" t="s">
        <v>65</v>
      </c>
      <c r="C33" s="1">
        <v>400</v>
      </c>
      <c r="D33" s="1">
        <v>400</v>
      </c>
    </row>
    <row r="34" spans="1:4" x14ac:dyDescent="0.25">
      <c r="A34" s="1">
        <v>33</v>
      </c>
      <c r="B34" s="1" t="s">
        <v>66</v>
      </c>
      <c r="C34" s="1">
        <v>235</v>
      </c>
      <c r="D34" s="1">
        <v>235</v>
      </c>
    </row>
    <row r="35" spans="1:4" x14ac:dyDescent="0.25">
      <c r="A35" s="1">
        <v>34</v>
      </c>
      <c r="B35" s="1" t="s">
        <v>67</v>
      </c>
      <c r="C35" s="1">
        <v>210</v>
      </c>
      <c r="D35" s="1">
        <v>210</v>
      </c>
    </row>
    <row r="36" spans="1:4" x14ac:dyDescent="0.25">
      <c r="A36" s="1">
        <v>35</v>
      </c>
      <c r="B36" s="1" t="s">
        <v>68</v>
      </c>
      <c r="C36" s="1">
        <v>660</v>
      </c>
      <c r="D36" s="1">
        <v>660</v>
      </c>
    </row>
    <row r="37" spans="1:4" x14ac:dyDescent="0.25">
      <c r="A37" s="1">
        <v>36</v>
      </c>
      <c r="B37" s="1" t="s">
        <v>69</v>
      </c>
      <c r="C37" s="1">
        <v>320</v>
      </c>
      <c r="D37" s="1">
        <v>320</v>
      </c>
    </row>
    <row r="38" spans="1:4" x14ac:dyDescent="0.25">
      <c r="A38" s="1">
        <v>37</v>
      </c>
      <c r="B38" s="1" t="s">
        <v>70</v>
      </c>
      <c r="C38" s="1">
        <v>140</v>
      </c>
      <c r="D38" s="1">
        <v>140</v>
      </c>
    </row>
    <row r="39" spans="1:4" x14ac:dyDescent="0.25">
      <c r="A39" s="1">
        <v>38</v>
      </c>
      <c r="B39" s="1" t="s">
        <v>71</v>
      </c>
      <c r="C39" s="1">
        <v>255</v>
      </c>
      <c r="D39" s="1">
        <v>255</v>
      </c>
    </row>
    <row r="40" spans="1:4" x14ac:dyDescent="0.25">
      <c r="A40" s="1">
        <v>39</v>
      </c>
      <c r="B40" s="1" t="s">
        <v>72</v>
      </c>
      <c r="C40" s="1">
        <v>200</v>
      </c>
      <c r="D40" s="1">
        <v>200</v>
      </c>
    </row>
    <row r="41" spans="1:4" x14ac:dyDescent="0.25">
      <c r="A41" s="18">
        <v>40</v>
      </c>
      <c r="B41" s="1" t="s">
        <v>73</v>
      </c>
      <c r="C41" s="1">
        <v>120</v>
      </c>
      <c r="D41" s="1">
        <v>120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7"/>
  <sheetViews>
    <sheetView topLeftCell="A29" workbookViewId="0">
      <selection activeCell="H51" sqref="H51"/>
    </sheetView>
  </sheetViews>
  <sheetFormatPr defaultRowHeight="15" x14ac:dyDescent="0.25"/>
  <cols>
    <col min="2" max="3" width="16.85546875" customWidth="1"/>
    <col min="4" max="4" width="20.85546875" customWidth="1"/>
    <col min="5" max="5" width="11.85546875" customWidth="1"/>
    <col min="6" max="6" width="12.140625" customWidth="1"/>
    <col min="7" max="7" width="12.7109375" customWidth="1"/>
    <col min="8" max="8" width="12.5703125" customWidth="1"/>
  </cols>
  <sheetData>
    <row r="1" spans="1:8" x14ac:dyDescent="0.2">
      <c r="A1" s="3" t="s">
        <v>28</v>
      </c>
      <c r="B1" s="3" t="s">
        <v>29</v>
      </c>
      <c r="C1" s="3" t="s">
        <v>33</v>
      </c>
      <c r="D1" s="3" t="s">
        <v>12</v>
      </c>
      <c r="E1" s="3" t="s">
        <v>23</v>
      </c>
      <c r="F1" s="3" t="s">
        <v>13</v>
      </c>
      <c r="G1" s="3" t="s">
        <v>24</v>
      </c>
      <c r="H1" s="3" t="s">
        <v>25</v>
      </c>
    </row>
    <row r="2" spans="1:8" x14ac:dyDescent="0.2">
      <c r="A2">
        <v>1</v>
      </c>
      <c r="B2" s="5">
        <v>45627.425011574072</v>
      </c>
      <c r="C2" s="5" t="s">
        <v>74</v>
      </c>
      <c r="D2" t="s">
        <v>34</v>
      </c>
      <c r="E2">
        <v>1</v>
      </c>
      <c r="F2">
        <v>250</v>
      </c>
      <c r="G2">
        <v>250</v>
      </c>
      <c r="H2">
        <v>250</v>
      </c>
    </row>
    <row r="3" spans="1:8" x14ac:dyDescent="0.2">
      <c r="A3">
        <v>1</v>
      </c>
      <c r="B3" s="5">
        <v>45627.425011574072</v>
      </c>
      <c r="C3" s="5" t="s">
        <v>75</v>
      </c>
      <c r="D3" t="s">
        <v>35</v>
      </c>
      <c r="E3">
        <v>1</v>
      </c>
      <c r="F3">
        <v>210</v>
      </c>
      <c r="G3">
        <v>210</v>
      </c>
      <c r="H3">
        <v>210</v>
      </c>
    </row>
    <row r="4" spans="1:8" x14ac:dyDescent="0.2">
      <c r="A4">
        <v>1</v>
      </c>
      <c r="B4" s="5">
        <v>45627.425011574072</v>
      </c>
      <c r="C4" s="5" t="s">
        <v>76</v>
      </c>
      <c r="D4" t="s">
        <v>36</v>
      </c>
      <c r="E4">
        <v>1</v>
      </c>
      <c r="F4">
        <v>220</v>
      </c>
      <c r="G4">
        <v>220</v>
      </c>
      <c r="H4">
        <v>220</v>
      </c>
    </row>
    <row r="5" spans="1:8" x14ac:dyDescent="0.2">
      <c r="A5">
        <v>1</v>
      </c>
      <c r="B5" s="5">
        <v>45627.425011574072</v>
      </c>
      <c r="C5" s="5" t="s">
        <v>77</v>
      </c>
      <c r="D5" t="s">
        <v>37</v>
      </c>
      <c r="E5">
        <v>1</v>
      </c>
      <c r="F5">
        <v>1200</v>
      </c>
      <c r="G5">
        <v>1200</v>
      </c>
      <c r="H5">
        <v>1200</v>
      </c>
    </row>
    <row r="6" spans="1:8" x14ac:dyDescent="0.2">
      <c r="A6">
        <v>1</v>
      </c>
      <c r="B6" s="5">
        <v>45627.425011574072</v>
      </c>
      <c r="C6" s="5" t="s">
        <v>78</v>
      </c>
      <c r="D6" t="s">
        <v>38</v>
      </c>
      <c r="E6">
        <v>1</v>
      </c>
      <c r="F6">
        <v>1300</v>
      </c>
      <c r="G6">
        <v>1300</v>
      </c>
      <c r="H6">
        <v>1300</v>
      </c>
    </row>
    <row r="7" spans="1:8" x14ac:dyDescent="0.2">
      <c r="A7">
        <v>1</v>
      </c>
      <c r="B7" s="5">
        <v>45627.425011574072</v>
      </c>
      <c r="C7" s="5" t="s">
        <v>79</v>
      </c>
      <c r="D7" t="s">
        <v>39</v>
      </c>
      <c r="E7">
        <v>1</v>
      </c>
      <c r="F7">
        <v>200</v>
      </c>
      <c r="G7">
        <v>200</v>
      </c>
      <c r="H7">
        <v>200</v>
      </c>
    </row>
    <row r="8" spans="1:8" x14ac:dyDescent="0.2">
      <c r="A8">
        <v>1</v>
      </c>
      <c r="B8" s="5">
        <v>45627.425011574072</v>
      </c>
      <c r="C8" s="5" t="s">
        <v>80</v>
      </c>
      <c r="D8" t="s">
        <v>40</v>
      </c>
      <c r="E8">
        <v>1</v>
      </c>
      <c r="F8">
        <v>80</v>
      </c>
      <c r="G8">
        <v>80</v>
      </c>
      <c r="H8">
        <v>80</v>
      </c>
    </row>
    <row r="9" spans="1:8" x14ac:dyDescent="0.2">
      <c r="A9">
        <v>1</v>
      </c>
      <c r="B9" s="5">
        <v>45627.425011574072</v>
      </c>
      <c r="C9" s="5" t="s">
        <v>81</v>
      </c>
      <c r="D9" t="s">
        <v>41</v>
      </c>
      <c r="E9">
        <v>1</v>
      </c>
      <c r="F9">
        <v>250</v>
      </c>
      <c r="G9">
        <v>250</v>
      </c>
      <c r="H9">
        <v>250</v>
      </c>
    </row>
    <row r="10" spans="1:8" x14ac:dyDescent="0.2">
      <c r="A10">
        <v>1</v>
      </c>
      <c r="B10" s="5">
        <v>45627.425011574072</v>
      </c>
      <c r="C10" s="5" t="s">
        <v>82</v>
      </c>
      <c r="D10" t="s">
        <v>42</v>
      </c>
      <c r="E10">
        <v>1</v>
      </c>
      <c r="F10">
        <v>250</v>
      </c>
      <c r="G10">
        <v>250</v>
      </c>
      <c r="H10">
        <v>250</v>
      </c>
    </row>
    <row r="11" spans="1:8" x14ac:dyDescent="0.2">
      <c r="A11">
        <v>1</v>
      </c>
      <c r="B11" s="5">
        <v>45627.425011574072</v>
      </c>
      <c r="C11" s="5" t="s">
        <v>83</v>
      </c>
      <c r="D11" t="s">
        <v>43</v>
      </c>
      <c r="E11">
        <v>1</v>
      </c>
      <c r="F11">
        <v>250</v>
      </c>
      <c r="G11">
        <v>250</v>
      </c>
      <c r="H11">
        <v>250</v>
      </c>
    </row>
    <row r="12" spans="1:8" x14ac:dyDescent="0.2">
      <c r="A12">
        <v>1</v>
      </c>
      <c r="B12" s="5">
        <v>45627.425011574072</v>
      </c>
      <c r="C12" s="5" t="s">
        <v>84</v>
      </c>
      <c r="D12" t="s">
        <v>44</v>
      </c>
      <c r="E12">
        <v>1</v>
      </c>
      <c r="F12">
        <v>150</v>
      </c>
      <c r="G12">
        <v>150</v>
      </c>
      <c r="H12">
        <v>150</v>
      </c>
    </row>
    <row r="13" spans="1:8" x14ac:dyDescent="0.2">
      <c r="A13">
        <v>1</v>
      </c>
      <c r="B13" s="5">
        <v>45627.425011574072</v>
      </c>
      <c r="C13" s="5" t="s">
        <v>85</v>
      </c>
      <c r="D13" t="s">
        <v>45</v>
      </c>
      <c r="E13">
        <v>1</v>
      </c>
      <c r="F13">
        <v>200</v>
      </c>
      <c r="G13">
        <v>200</v>
      </c>
      <c r="H13">
        <v>200</v>
      </c>
    </row>
    <row r="14" spans="1:8" x14ac:dyDescent="0.2">
      <c r="A14">
        <v>1</v>
      </c>
      <c r="B14" s="5">
        <v>45627.425011574072</v>
      </c>
      <c r="C14" s="5" t="s">
        <v>86</v>
      </c>
      <c r="D14" t="s">
        <v>46</v>
      </c>
      <c r="E14">
        <v>1</v>
      </c>
      <c r="F14">
        <v>50</v>
      </c>
      <c r="G14">
        <v>50</v>
      </c>
      <c r="H14">
        <v>50</v>
      </c>
    </row>
    <row r="15" spans="1:8" x14ac:dyDescent="0.2">
      <c r="A15">
        <v>1</v>
      </c>
      <c r="B15" s="5">
        <v>45627.425011574072</v>
      </c>
      <c r="C15" s="5" t="s">
        <v>87</v>
      </c>
      <c r="D15" t="s">
        <v>47</v>
      </c>
      <c r="E15">
        <v>1</v>
      </c>
      <c r="F15">
        <v>90</v>
      </c>
      <c r="G15">
        <v>90</v>
      </c>
      <c r="H15">
        <v>90</v>
      </c>
    </row>
    <row r="16" spans="1:8" x14ac:dyDescent="0.2">
      <c r="A16">
        <v>1</v>
      </c>
      <c r="B16" s="5">
        <v>45627.425011574072</v>
      </c>
      <c r="C16" s="5" t="s">
        <v>88</v>
      </c>
      <c r="D16" t="s">
        <v>48</v>
      </c>
      <c r="E16">
        <v>1</v>
      </c>
      <c r="F16">
        <v>400</v>
      </c>
      <c r="G16">
        <v>400</v>
      </c>
      <c r="H16">
        <v>400</v>
      </c>
    </row>
    <row r="17" spans="1:8" x14ac:dyDescent="0.2">
      <c r="A17">
        <v>1</v>
      </c>
      <c r="B17" s="5">
        <v>45627.425011574072</v>
      </c>
      <c r="C17" s="5" t="s">
        <v>89</v>
      </c>
      <c r="D17" t="s">
        <v>49</v>
      </c>
      <c r="E17">
        <v>1</v>
      </c>
      <c r="F17">
        <v>300</v>
      </c>
      <c r="G17">
        <v>300</v>
      </c>
      <c r="H17">
        <v>300</v>
      </c>
    </row>
    <row r="18" spans="1:8" x14ac:dyDescent="0.2">
      <c r="A18">
        <v>1</v>
      </c>
      <c r="B18" s="5">
        <v>45627.425011574072</v>
      </c>
      <c r="C18" s="5" t="s">
        <v>90</v>
      </c>
      <c r="D18" t="s">
        <v>50</v>
      </c>
      <c r="E18">
        <v>1</v>
      </c>
      <c r="F18">
        <v>100</v>
      </c>
      <c r="G18">
        <v>100</v>
      </c>
      <c r="H18">
        <v>100</v>
      </c>
    </row>
    <row r="19" spans="1:8" x14ac:dyDescent="0.2">
      <c r="A19">
        <v>1</v>
      </c>
      <c r="B19" s="5">
        <v>45627.425011574072</v>
      </c>
      <c r="C19" s="5" t="s">
        <v>91</v>
      </c>
      <c r="D19" t="s">
        <v>51</v>
      </c>
      <c r="E19">
        <v>1</v>
      </c>
      <c r="F19">
        <v>80</v>
      </c>
      <c r="G19">
        <v>80</v>
      </c>
      <c r="H19">
        <v>80</v>
      </c>
    </row>
    <row r="20" spans="1:8" x14ac:dyDescent="0.25">
      <c r="A20">
        <v>1</v>
      </c>
      <c r="B20" s="5">
        <v>45627.425011574072</v>
      </c>
      <c r="C20" t="s">
        <v>92</v>
      </c>
      <c r="D20" t="s">
        <v>52</v>
      </c>
      <c r="E20">
        <v>1</v>
      </c>
      <c r="F20">
        <v>120</v>
      </c>
      <c r="G20">
        <v>120</v>
      </c>
      <c r="H20">
        <v>120</v>
      </c>
    </row>
    <row r="21" spans="1:8" x14ac:dyDescent="0.25">
      <c r="B21" s="5"/>
      <c r="E21">
        <v>19</v>
      </c>
      <c r="H21">
        <v>5700</v>
      </c>
    </row>
    <row r="22" spans="1:8" x14ac:dyDescent="0.25">
      <c r="A22">
        <v>2</v>
      </c>
      <c r="B22" s="5">
        <v>45627.432395833333</v>
      </c>
      <c r="C22" t="s">
        <v>74</v>
      </c>
      <c r="D22" t="s">
        <v>34</v>
      </c>
      <c r="E22">
        <v>2</v>
      </c>
      <c r="F22">
        <v>250</v>
      </c>
      <c r="G22">
        <v>250</v>
      </c>
      <c r="H22">
        <v>500</v>
      </c>
    </row>
    <row r="23" spans="1:8" x14ac:dyDescent="0.25">
      <c r="A23">
        <v>2</v>
      </c>
      <c r="B23" s="5">
        <v>45627.432395833333</v>
      </c>
      <c r="C23" t="s">
        <v>75</v>
      </c>
      <c r="D23" t="s">
        <v>35</v>
      </c>
      <c r="E23">
        <v>1</v>
      </c>
      <c r="F23">
        <v>210</v>
      </c>
      <c r="G23">
        <v>210</v>
      </c>
      <c r="H23">
        <v>210</v>
      </c>
    </row>
    <row r="24" spans="1:8" x14ac:dyDescent="0.25">
      <c r="A24">
        <v>2</v>
      </c>
      <c r="B24" s="5">
        <v>45627.432395833333</v>
      </c>
      <c r="C24" t="s">
        <v>76</v>
      </c>
      <c r="D24" t="s">
        <v>36</v>
      </c>
      <c r="E24">
        <v>1</v>
      </c>
      <c r="F24">
        <v>220</v>
      </c>
      <c r="G24">
        <v>220</v>
      </c>
      <c r="H24">
        <v>220</v>
      </c>
    </row>
    <row r="25" spans="1:8" x14ac:dyDescent="0.25">
      <c r="B25" s="5"/>
      <c r="E25">
        <v>4</v>
      </c>
      <c r="H25">
        <v>930</v>
      </c>
    </row>
    <row r="26" spans="1:8" x14ac:dyDescent="0.25">
      <c r="A26">
        <v>3</v>
      </c>
      <c r="B26" s="5">
        <v>45627.432766203703</v>
      </c>
      <c r="C26" t="s">
        <v>74</v>
      </c>
      <c r="D26" t="s">
        <v>34</v>
      </c>
      <c r="E26">
        <v>1</v>
      </c>
      <c r="F26">
        <v>250</v>
      </c>
      <c r="G26">
        <v>250</v>
      </c>
      <c r="H26">
        <v>250</v>
      </c>
    </row>
    <row r="27" spans="1:8" x14ac:dyDescent="0.25">
      <c r="A27">
        <v>3</v>
      </c>
      <c r="B27" s="5">
        <v>45627.432766203703</v>
      </c>
      <c r="C27" t="s">
        <v>75</v>
      </c>
      <c r="D27" t="s">
        <v>35</v>
      </c>
      <c r="E27">
        <v>1</v>
      </c>
      <c r="F27">
        <v>210</v>
      </c>
      <c r="G27">
        <v>210</v>
      </c>
      <c r="H27">
        <v>210</v>
      </c>
    </row>
    <row r="28" spans="1:8" x14ac:dyDescent="0.25">
      <c r="A28">
        <v>3</v>
      </c>
      <c r="B28" s="5">
        <v>45627.432766203703</v>
      </c>
      <c r="C28" t="s">
        <v>76</v>
      </c>
      <c r="D28" t="s">
        <v>36</v>
      </c>
      <c r="E28">
        <v>2</v>
      </c>
      <c r="F28">
        <v>220</v>
      </c>
      <c r="G28">
        <v>220</v>
      </c>
      <c r="H28">
        <v>440</v>
      </c>
    </row>
    <row r="29" spans="1:8" x14ac:dyDescent="0.25">
      <c r="A29">
        <v>3</v>
      </c>
      <c r="B29" s="5">
        <v>45627.432766203703</v>
      </c>
      <c r="C29" t="s">
        <v>77</v>
      </c>
      <c r="D29" t="s">
        <v>37</v>
      </c>
      <c r="E29">
        <v>1</v>
      </c>
      <c r="F29">
        <v>1200</v>
      </c>
      <c r="G29">
        <v>1200</v>
      </c>
      <c r="H29">
        <v>1200</v>
      </c>
    </row>
    <row r="30" spans="1:8" x14ac:dyDescent="0.25">
      <c r="A30">
        <v>3</v>
      </c>
      <c r="B30" s="5">
        <v>45627.432766203703</v>
      </c>
      <c r="C30" t="s">
        <v>78</v>
      </c>
      <c r="D30" t="s">
        <v>38</v>
      </c>
      <c r="E30">
        <v>1</v>
      </c>
      <c r="F30">
        <v>1300</v>
      </c>
      <c r="G30">
        <v>1300</v>
      </c>
      <c r="H30">
        <v>1300</v>
      </c>
    </row>
    <row r="31" spans="1:8" x14ac:dyDescent="0.25">
      <c r="A31">
        <v>3</v>
      </c>
      <c r="B31" s="5">
        <v>45627.432766203703</v>
      </c>
      <c r="C31" t="s">
        <v>79</v>
      </c>
      <c r="D31" t="s">
        <v>39</v>
      </c>
      <c r="E31">
        <v>1</v>
      </c>
      <c r="F31">
        <v>200</v>
      </c>
      <c r="G31">
        <v>200</v>
      </c>
      <c r="H31">
        <v>200</v>
      </c>
    </row>
    <row r="32" spans="1:8" x14ac:dyDescent="0.25">
      <c r="E32">
        <v>7</v>
      </c>
      <c r="H32">
        <v>3600</v>
      </c>
    </row>
    <row r="33" spans="1:8" x14ac:dyDescent="0.25">
      <c r="A33">
        <v>4</v>
      </c>
      <c r="B33" s="5">
        <v>45627.672210648147</v>
      </c>
      <c r="C33" t="s">
        <v>74</v>
      </c>
      <c r="D33" t="s">
        <v>34</v>
      </c>
      <c r="E33">
        <v>2</v>
      </c>
      <c r="F33">
        <v>250</v>
      </c>
      <c r="G33">
        <v>250</v>
      </c>
      <c r="H33">
        <v>500</v>
      </c>
    </row>
    <row r="34" spans="1:8" x14ac:dyDescent="0.25">
      <c r="A34">
        <v>4</v>
      </c>
      <c r="B34" s="5">
        <v>45627.672210648147</v>
      </c>
      <c r="C34" t="s">
        <v>75</v>
      </c>
      <c r="D34" t="s">
        <v>35</v>
      </c>
      <c r="E34">
        <v>1</v>
      </c>
      <c r="F34">
        <v>210</v>
      </c>
      <c r="G34">
        <v>210</v>
      </c>
      <c r="H34">
        <v>210</v>
      </c>
    </row>
    <row r="35" spans="1:8" x14ac:dyDescent="0.25">
      <c r="A35">
        <v>4</v>
      </c>
      <c r="B35" s="5">
        <v>45627.672210648147</v>
      </c>
      <c r="C35" t="s">
        <v>76</v>
      </c>
      <c r="D35" t="s">
        <v>36</v>
      </c>
      <c r="E35">
        <v>1</v>
      </c>
      <c r="F35">
        <v>220</v>
      </c>
      <c r="G35">
        <v>220</v>
      </c>
      <c r="H35">
        <v>220</v>
      </c>
    </row>
    <row r="36" spans="1:8" x14ac:dyDescent="0.25">
      <c r="A36">
        <v>4</v>
      </c>
      <c r="B36" s="5">
        <v>45627.672210648147</v>
      </c>
      <c r="C36" t="s">
        <v>77</v>
      </c>
      <c r="D36" t="s">
        <v>37</v>
      </c>
      <c r="E36">
        <v>1</v>
      </c>
      <c r="F36">
        <v>1200</v>
      </c>
      <c r="G36">
        <v>1200</v>
      </c>
      <c r="H36">
        <v>1200</v>
      </c>
    </row>
    <row r="37" spans="1:8" x14ac:dyDescent="0.25">
      <c r="A37">
        <v>4</v>
      </c>
      <c r="B37" s="5">
        <v>45627.672210648147</v>
      </c>
      <c r="C37" t="s">
        <v>78</v>
      </c>
      <c r="D37" t="s">
        <v>38</v>
      </c>
      <c r="E37">
        <v>1</v>
      </c>
      <c r="F37">
        <v>1300</v>
      </c>
      <c r="G37">
        <v>1300</v>
      </c>
      <c r="H37">
        <v>1300</v>
      </c>
    </row>
    <row r="38" spans="1:8" x14ac:dyDescent="0.25">
      <c r="A38">
        <v>4</v>
      </c>
      <c r="B38" s="5">
        <v>45627.672210648147</v>
      </c>
      <c r="C38" t="s">
        <v>79</v>
      </c>
      <c r="D38" t="s">
        <v>39</v>
      </c>
      <c r="E38">
        <v>1</v>
      </c>
      <c r="F38">
        <v>200</v>
      </c>
      <c r="G38">
        <v>200</v>
      </c>
      <c r="H38">
        <v>200</v>
      </c>
    </row>
    <row r="39" spans="1:8" x14ac:dyDescent="0.25">
      <c r="E39">
        <v>7</v>
      </c>
      <c r="H39">
        <v>3630</v>
      </c>
    </row>
    <row r="40" spans="1:8" x14ac:dyDescent="0.25">
      <c r="A40">
        <v>5</v>
      </c>
      <c r="B40" s="5">
        <v>45627.672847222224</v>
      </c>
      <c r="C40" t="s">
        <v>74</v>
      </c>
      <c r="D40" t="s">
        <v>34</v>
      </c>
      <c r="E40">
        <v>1</v>
      </c>
      <c r="F40">
        <v>250</v>
      </c>
      <c r="G40">
        <v>250</v>
      </c>
      <c r="H40">
        <v>250</v>
      </c>
    </row>
    <row r="41" spans="1:8" x14ac:dyDescent="0.25">
      <c r="A41">
        <v>5</v>
      </c>
      <c r="B41" s="5">
        <v>45627.672847222224</v>
      </c>
      <c r="C41" t="s">
        <v>75</v>
      </c>
      <c r="D41" t="s">
        <v>35</v>
      </c>
      <c r="E41">
        <v>1</v>
      </c>
      <c r="F41">
        <v>210</v>
      </c>
      <c r="G41">
        <v>210</v>
      </c>
      <c r="H41">
        <v>210</v>
      </c>
    </row>
    <row r="42" spans="1:8" x14ac:dyDescent="0.25">
      <c r="A42">
        <v>5</v>
      </c>
      <c r="B42" s="5">
        <v>45627.672847222224</v>
      </c>
      <c r="C42" t="s">
        <v>76</v>
      </c>
      <c r="D42" t="s">
        <v>36</v>
      </c>
      <c r="E42">
        <v>1</v>
      </c>
      <c r="F42">
        <v>220</v>
      </c>
      <c r="G42">
        <v>220</v>
      </c>
      <c r="H42">
        <v>220</v>
      </c>
    </row>
    <row r="43" spans="1:8" x14ac:dyDescent="0.25">
      <c r="A43">
        <v>5</v>
      </c>
      <c r="B43" s="5">
        <v>45627.672847222224</v>
      </c>
      <c r="C43" t="s">
        <v>77</v>
      </c>
      <c r="D43" t="s">
        <v>37</v>
      </c>
      <c r="E43">
        <v>1</v>
      </c>
      <c r="F43">
        <v>1200</v>
      </c>
      <c r="G43">
        <v>1200</v>
      </c>
      <c r="H43">
        <v>1200</v>
      </c>
    </row>
    <row r="44" spans="1:8" x14ac:dyDescent="0.25">
      <c r="A44">
        <v>5</v>
      </c>
      <c r="B44" s="5">
        <v>45627.672847222224</v>
      </c>
      <c r="C44" t="s">
        <v>78</v>
      </c>
      <c r="D44" t="s">
        <v>38</v>
      </c>
      <c r="E44">
        <v>1</v>
      </c>
      <c r="F44">
        <v>1300</v>
      </c>
      <c r="G44">
        <v>1300</v>
      </c>
      <c r="H44">
        <v>1300</v>
      </c>
    </row>
    <row r="45" spans="1:8" x14ac:dyDescent="0.25">
      <c r="E45">
        <v>5</v>
      </c>
      <c r="H45">
        <v>13185</v>
      </c>
    </row>
    <row r="46" spans="1:8" x14ac:dyDescent="0.25">
      <c r="A46">
        <v>6</v>
      </c>
      <c r="B46" s="5">
        <v>46284.37599537037</v>
      </c>
      <c r="C46" t="s">
        <v>74</v>
      </c>
      <c r="D46" t="s">
        <v>34</v>
      </c>
      <c r="E46">
        <v>1</v>
      </c>
      <c r="F46">
        <v>250</v>
      </c>
      <c r="G46">
        <v>250</v>
      </c>
      <c r="H46">
        <v>250</v>
      </c>
    </row>
    <row r="47" spans="1:8" x14ac:dyDescent="0.25">
      <c r="E47">
        <v>1</v>
      </c>
      <c r="H47">
        <v>250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1"/>
  <sheetViews>
    <sheetView workbookViewId="0">
      <selection activeCell="F26" sqref="F26"/>
    </sheetView>
  </sheetViews>
  <sheetFormatPr defaultRowHeight="15" x14ac:dyDescent="0.25"/>
  <cols>
    <col min="1" max="1" width="38" customWidth="1"/>
    <col min="2" max="2" width="13.5703125" customWidth="1"/>
    <col min="3" max="3" width="14.42578125" customWidth="1"/>
  </cols>
  <sheetData>
    <row r="1" spans="1:3" x14ac:dyDescent="0.2">
      <c r="A1" s="1" t="s">
        <v>12</v>
      </c>
      <c r="B1" s="9" t="s">
        <v>30</v>
      </c>
      <c r="C1" s="9" t="s">
        <v>31</v>
      </c>
    </row>
    <row r="2" spans="1:3" x14ac:dyDescent="0.25">
      <c r="A2" s="1" t="s">
        <v>34</v>
      </c>
      <c r="B2" s="9">
        <v>200</v>
      </c>
      <c r="C2" s="9">
        <f>B2-SUMIF(Sales!D:D,Inventory!A2,Sales!E:E)</f>
        <v>192</v>
      </c>
    </row>
    <row r="3" spans="1:3" x14ac:dyDescent="0.25">
      <c r="A3" s="1" t="s">
        <v>35</v>
      </c>
      <c r="B3" s="9">
        <v>200</v>
      </c>
      <c r="C3" s="9">
        <f>B3-SUMIF(Sales!D:D,Inventory!A3,Sales!E:E)</f>
        <v>195</v>
      </c>
    </row>
    <row r="4" spans="1:3" x14ac:dyDescent="0.25">
      <c r="A4" s="1" t="s">
        <v>36</v>
      </c>
      <c r="B4" s="9">
        <v>200</v>
      </c>
      <c r="C4" s="9">
        <f>B4-SUMIF(Sales!D:D,Inventory!A4,Sales!E:E)</f>
        <v>194</v>
      </c>
    </row>
    <row r="5" spans="1:3" x14ac:dyDescent="0.25">
      <c r="A5" s="1" t="s">
        <v>37</v>
      </c>
      <c r="B5" s="9">
        <v>200</v>
      </c>
      <c r="C5" s="9">
        <f>B5-SUMIF(Sales!D:D,Inventory!A5,Sales!E:E)</f>
        <v>196</v>
      </c>
    </row>
    <row r="6" spans="1:3" x14ac:dyDescent="0.25">
      <c r="A6" s="1" t="s">
        <v>38</v>
      </c>
      <c r="B6" s="9">
        <v>200</v>
      </c>
      <c r="C6" s="9">
        <f>B6-SUMIF(Sales!D:D,Inventory!A6,Sales!E:E)</f>
        <v>196</v>
      </c>
    </row>
    <row r="7" spans="1:3" x14ac:dyDescent="0.25">
      <c r="A7" s="1" t="s">
        <v>39</v>
      </c>
      <c r="B7" s="9">
        <v>200</v>
      </c>
      <c r="C7" s="9">
        <f>B7-SUMIF(Sales!D:D,Inventory!A7,Sales!E:E)</f>
        <v>197</v>
      </c>
    </row>
    <row r="8" spans="1:3" x14ac:dyDescent="0.25">
      <c r="A8" s="1" t="s">
        <v>40</v>
      </c>
      <c r="B8" s="9">
        <v>200</v>
      </c>
      <c r="C8" s="9">
        <f>B8-SUMIF(Sales!D:D,Inventory!A8,Sales!E:E)</f>
        <v>199</v>
      </c>
    </row>
    <row r="9" spans="1:3" x14ac:dyDescent="0.25">
      <c r="A9" s="1" t="s">
        <v>41</v>
      </c>
      <c r="B9" s="9">
        <v>200</v>
      </c>
      <c r="C9" s="9">
        <f>B9-SUMIF(Sales!D:D,Inventory!A9,Sales!E:E)</f>
        <v>199</v>
      </c>
    </row>
    <row r="10" spans="1:3" x14ac:dyDescent="0.25">
      <c r="A10" s="1" t="s">
        <v>42</v>
      </c>
      <c r="B10" s="9">
        <v>200</v>
      </c>
      <c r="C10" s="9">
        <f>B10-SUMIF(Sales!D:D,Inventory!A10,Sales!E:E)</f>
        <v>199</v>
      </c>
    </row>
    <row r="11" spans="1:3" x14ac:dyDescent="0.25">
      <c r="A11" s="1" t="s">
        <v>43</v>
      </c>
      <c r="B11" s="9">
        <v>200</v>
      </c>
      <c r="C11" s="9">
        <f>B11-SUMIF(Sales!D:D,Inventory!A11,Sales!E:E)</f>
        <v>199</v>
      </c>
    </row>
    <row r="12" spans="1:3" x14ac:dyDescent="0.25">
      <c r="A12" s="1" t="s">
        <v>44</v>
      </c>
      <c r="B12" s="9">
        <v>200</v>
      </c>
      <c r="C12" s="9">
        <f>B12-SUMIF(Sales!D:D,Inventory!A12,Sales!E:E)</f>
        <v>199</v>
      </c>
    </row>
    <row r="13" spans="1:3" x14ac:dyDescent="0.25">
      <c r="A13" s="1" t="s">
        <v>45</v>
      </c>
      <c r="B13" s="9">
        <v>200</v>
      </c>
      <c r="C13" s="9">
        <f>B13-SUMIF(Sales!D:D,Inventory!A13,Sales!E:E)</f>
        <v>199</v>
      </c>
    </row>
    <row r="14" spans="1:3" x14ac:dyDescent="0.25">
      <c r="A14" s="1" t="s">
        <v>46</v>
      </c>
      <c r="B14" s="9">
        <v>200</v>
      </c>
      <c r="C14" s="9">
        <f>B14-SUMIF(Sales!D:D,Inventory!A14,Sales!E:E)</f>
        <v>199</v>
      </c>
    </row>
    <row r="15" spans="1:3" x14ac:dyDescent="0.25">
      <c r="A15" s="1" t="s">
        <v>47</v>
      </c>
      <c r="B15" s="9">
        <v>200</v>
      </c>
      <c r="C15" s="9">
        <f>B15-SUMIF(Sales!D:D,Inventory!A15,Sales!E:E)</f>
        <v>199</v>
      </c>
    </row>
    <row r="16" spans="1:3" x14ac:dyDescent="0.25">
      <c r="A16" s="1" t="s">
        <v>48</v>
      </c>
      <c r="B16" s="9">
        <v>200</v>
      </c>
      <c r="C16" s="9">
        <f>B16-SUMIF(Sales!D:D,Inventory!A16,Sales!E:E)</f>
        <v>199</v>
      </c>
    </row>
    <row r="17" spans="1:3" x14ac:dyDescent="0.25">
      <c r="A17" s="1" t="s">
        <v>49</v>
      </c>
      <c r="B17" s="9">
        <v>200</v>
      </c>
      <c r="C17" s="9">
        <f>B17-SUMIF(Sales!D:D,Inventory!A17,Sales!E:E)</f>
        <v>199</v>
      </c>
    </row>
    <row r="18" spans="1:3" x14ac:dyDescent="0.25">
      <c r="A18" s="1" t="s">
        <v>50</v>
      </c>
      <c r="B18" s="9">
        <v>200</v>
      </c>
      <c r="C18" s="9">
        <f>B18-SUMIF(Sales!D:D,Inventory!A18,Sales!E:E)</f>
        <v>199</v>
      </c>
    </row>
    <row r="19" spans="1:3" x14ac:dyDescent="0.25">
      <c r="A19" s="1" t="s">
        <v>51</v>
      </c>
      <c r="B19" s="9">
        <v>200</v>
      </c>
      <c r="C19" s="9">
        <f>B19-SUMIF(Sales!D:D,Inventory!A19,Sales!E:E)</f>
        <v>199</v>
      </c>
    </row>
    <row r="20" spans="1:3" x14ac:dyDescent="0.25">
      <c r="A20" s="1" t="s">
        <v>52</v>
      </c>
      <c r="B20" s="9">
        <v>200</v>
      </c>
      <c r="C20" s="9">
        <f>B20-SUMIF(Sales!D:D,Inventory!A20,Sales!E:E)</f>
        <v>199</v>
      </c>
    </row>
    <row r="21" spans="1:3" x14ac:dyDescent="0.25">
      <c r="A21" s="1" t="s">
        <v>53</v>
      </c>
      <c r="B21" s="9">
        <v>200</v>
      </c>
      <c r="C21" s="9">
        <f>B21-SUMIF(Sales!D:D,Inventory!A21,Sales!E:E)</f>
        <v>200</v>
      </c>
    </row>
    <row r="22" spans="1:3" x14ac:dyDescent="0.25">
      <c r="A22" s="1" t="s">
        <v>54</v>
      </c>
      <c r="B22" s="9">
        <v>200</v>
      </c>
      <c r="C22" s="9">
        <f>B22-SUMIF(Sales!D:D,Inventory!A22,Sales!E:E)</f>
        <v>200</v>
      </c>
    </row>
    <row r="23" spans="1:3" x14ac:dyDescent="0.25">
      <c r="A23" s="1" t="s">
        <v>55</v>
      </c>
      <c r="B23" s="9">
        <v>200</v>
      </c>
      <c r="C23" s="9">
        <f>B23-SUMIF(Sales!D:D,Inventory!A23,Sales!E:E)</f>
        <v>200</v>
      </c>
    </row>
    <row r="24" spans="1:3" x14ac:dyDescent="0.25">
      <c r="A24" s="1" t="s">
        <v>56</v>
      </c>
      <c r="B24" s="9">
        <v>200</v>
      </c>
      <c r="C24" s="9">
        <f>B24-SUMIF(Sales!D:D,Inventory!A24,Sales!E:E)</f>
        <v>200</v>
      </c>
    </row>
    <row r="25" spans="1:3" x14ac:dyDescent="0.25">
      <c r="A25" s="1" t="s">
        <v>57</v>
      </c>
      <c r="B25" s="9">
        <v>200</v>
      </c>
      <c r="C25" s="9">
        <f>B25-SUMIF(Sales!D:D,Inventory!A25,Sales!E:E)</f>
        <v>200</v>
      </c>
    </row>
    <row r="26" spans="1:3" x14ac:dyDescent="0.25">
      <c r="A26" s="1" t="s">
        <v>58</v>
      </c>
      <c r="B26" s="9">
        <v>200</v>
      </c>
      <c r="C26" s="9">
        <f>B26-SUMIF(Sales!D:D,Inventory!A26,Sales!E:E)</f>
        <v>200</v>
      </c>
    </row>
    <row r="27" spans="1:3" x14ac:dyDescent="0.25">
      <c r="A27" s="1" t="s">
        <v>59</v>
      </c>
      <c r="B27" s="9">
        <v>200</v>
      </c>
      <c r="C27" s="9">
        <f>B27-SUMIF(Sales!D:D,Inventory!A27,Sales!E:E)</f>
        <v>200</v>
      </c>
    </row>
    <row r="28" spans="1:3" x14ac:dyDescent="0.25">
      <c r="A28" s="1" t="s">
        <v>60</v>
      </c>
      <c r="B28" s="9">
        <v>200</v>
      </c>
      <c r="C28" s="9">
        <f>B28-SUMIF(Sales!D:D,Inventory!A28,Sales!E:E)</f>
        <v>200</v>
      </c>
    </row>
    <row r="29" spans="1:3" x14ac:dyDescent="0.25">
      <c r="A29" s="1" t="s">
        <v>61</v>
      </c>
      <c r="B29" s="9">
        <v>200</v>
      </c>
      <c r="C29" s="9">
        <f>B29-SUMIF(Sales!D:D,Inventory!A29,Sales!E:E)</f>
        <v>200</v>
      </c>
    </row>
    <row r="30" spans="1:3" x14ac:dyDescent="0.25">
      <c r="A30" s="1" t="s">
        <v>62</v>
      </c>
      <c r="B30" s="9">
        <v>200</v>
      </c>
      <c r="C30" s="9">
        <f>B30-SUMIF(Sales!D:D,Inventory!A30,Sales!E:E)</f>
        <v>200</v>
      </c>
    </row>
    <row r="31" spans="1:3" x14ac:dyDescent="0.25">
      <c r="A31" s="1" t="s">
        <v>63</v>
      </c>
      <c r="B31" s="9">
        <v>200</v>
      </c>
      <c r="C31" s="9">
        <f>B31-SUMIF(Sales!D:D,Inventory!A31,Sales!E:E)</f>
        <v>200</v>
      </c>
    </row>
    <row r="32" spans="1:3" x14ac:dyDescent="0.25">
      <c r="A32" s="1" t="s">
        <v>64</v>
      </c>
      <c r="B32" s="9">
        <v>200</v>
      </c>
      <c r="C32" s="9">
        <f>B32-SUMIF(Sales!D:D,Inventory!A32,Sales!E:E)</f>
        <v>200</v>
      </c>
    </row>
    <row r="33" spans="1:3" x14ac:dyDescent="0.25">
      <c r="A33" s="1" t="s">
        <v>65</v>
      </c>
      <c r="B33" s="9">
        <v>200</v>
      </c>
      <c r="C33" s="9">
        <f>B33-SUMIF(Sales!D:D,Inventory!A33,Sales!E:E)</f>
        <v>200</v>
      </c>
    </row>
    <row r="34" spans="1:3" x14ac:dyDescent="0.25">
      <c r="A34" s="1" t="s">
        <v>66</v>
      </c>
      <c r="B34" s="9">
        <v>200</v>
      </c>
      <c r="C34" s="9">
        <f>B34-SUMIF(Sales!D:D,Inventory!A34,Sales!E:E)</f>
        <v>200</v>
      </c>
    </row>
    <row r="35" spans="1:3" x14ac:dyDescent="0.25">
      <c r="A35" s="1" t="s">
        <v>67</v>
      </c>
      <c r="B35" s="9">
        <v>200</v>
      </c>
      <c r="C35" s="9">
        <f>B35-SUMIF(Sales!D:D,Inventory!A35,Sales!E:E)</f>
        <v>200</v>
      </c>
    </row>
    <row r="36" spans="1:3" x14ac:dyDescent="0.25">
      <c r="A36" s="1" t="s">
        <v>68</v>
      </c>
      <c r="B36" s="9">
        <v>200</v>
      </c>
      <c r="C36" s="9">
        <f>B36-SUMIF(Sales!D:D,Inventory!A36,Sales!E:E)</f>
        <v>200</v>
      </c>
    </row>
    <row r="37" spans="1:3" x14ac:dyDescent="0.25">
      <c r="A37" s="1" t="s">
        <v>69</v>
      </c>
      <c r="B37" s="9">
        <v>200</v>
      </c>
      <c r="C37" s="9">
        <f>B37-SUMIF(Sales!D:D,Inventory!A37,Sales!E:E)</f>
        <v>200</v>
      </c>
    </row>
    <row r="38" spans="1:3" x14ac:dyDescent="0.25">
      <c r="A38" s="1" t="s">
        <v>70</v>
      </c>
      <c r="B38" s="9">
        <v>200</v>
      </c>
      <c r="C38" s="9">
        <f>B38-SUMIF(Sales!D:D,Inventory!A38,Sales!E:E)</f>
        <v>200</v>
      </c>
    </row>
    <row r="39" spans="1:3" x14ac:dyDescent="0.25">
      <c r="A39" s="1" t="s">
        <v>71</v>
      </c>
      <c r="B39" s="9">
        <v>200</v>
      </c>
      <c r="C39" s="9">
        <f>B39-SUMIF(Sales!D:D,Inventory!A39,Sales!E:E)</f>
        <v>200</v>
      </c>
    </row>
    <row r="40" spans="1:3" x14ac:dyDescent="0.25">
      <c r="A40" s="1" t="s">
        <v>72</v>
      </c>
      <c r="B40" s="9">
        <v>200</v>
      </c>
      <c r="C40" s="9">
        <f>B40-SUMIF(Sales!D:D,Inventory!A40,Sales!E:E)</f>
        <v>200</v>
      </c>
    </row>
    <row r="41" spans="1:3" x14ac:dyDescent="0.25">
      <c r="A41" s="1" t="s">
        <v>73</v>
      </c>
      <c r="B41" s="9">
        <v>200</v>
      </c>
      <c r="C41" s="9">
        <f>B41-SUMIF(Sales!D:D,Inventory!A41,Sales!E:E)</f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Items</vt:lpstr>
      <vt:lpstr>Sales</vt:lpstr>
      <vt:lpstr>Inventory</vt:lpstr>
      <vt:lpstr>Bottom_value</vt:lpstr>
      <vt:lpstr>Sheet1!Print_Area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Tharindu Lakshan</dc:creator>
  <cp:lastModifiedBy>USER</cp:lastModifiedBy>
  <cp:lastPrinted>2024-12-02T00:08:54Z</cp:lastPrinted>
  <dcterms:created xsi:type="dcterms:W3CDTF">2024-10-21T11:55:03Z</dcterms:created>
  <dcterms:modified xsi:type="dcterms:W3CDTF">2026-09-19T16:02:25Z</dcterms:modified>
</cp:coreProperties>
</file>